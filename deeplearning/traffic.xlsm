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168962e13963e01/Soongsil/2021_2/MATLAB/조별과제/refined_data/"/>
    </mc:Choice>
  </mc:AlternateContent>
  <xr:revisionPtr revIDLastSave="366" documentId="8_{736AD4FF-CBF9-474D-A1AE-7D3B81441F2F}" xr6:coauthVersionLast="47" xr6:coauthVersionMax="47" xr10:uidLastSave="{C8FA3F8A-FCDE-4C5F-A397-3430C5899190}"/>
  <bookViews>
    <workbookView xWindow="0" yWindow="500" windowWidth="28800" windowHeight="17500" activeTab="4" xr2:uid="{925ABCA8-2FCE-4097-9D5C-C26D59AD8BA0}"/>
  </bookViews>
  <sheets>
    <sheet name="ratio" sheetId="6" r:id="rId1"/>
    <sheet name="season" sheetId="5" r:id="rId2"/>
    <sheet name="2018년" sheetId="1" r:id="rId3"/>
    <sheet name="2019년" sheetId="2" r:id="rId4"/>
    <sheet name="2020년" sheetId="3" r:id="rId5"/>
    <sheet name="자치구 - 자치구 id" sheetId="4" r:id="rId6"/>
  </sheets>
  <functionGroups builtInGroupCount="19"/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" i="5" l="1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B19" i="5"/>
  <c r="B34" i="5" s="1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B6" i="6"/>
  <c r="C6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B7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B9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B12" i="6"/>
  <c r="C12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B13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B14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B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C4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B4" i="6"/>
  <c r="AB5" i="5"/>
  <c r="AB6" i="5"/>
  <c r="AB7" i="5"/>
  <c r="AB8" i="5"/>
  <c r="AB9" i="5"/>
  <c r="AB10" i="5"/>
  <c r="AB11" i="5"/>
  <c r="AB12" i="5"/>
  <c r="AB13" i="5"/>
  <c r="AB14" i="5"/>
  <c r="AB15" i="5"/>
  <c r="AB16" i="5"/>
  <c r="AB4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B16" i="5"/>
  <c r="B15" i="5"/>
  <c r="B14" i="5"/>
  <c r="B13" i="5"/>
  <c r="B12" i="5"/>
  <c r="B9" i="5"/>
  <c r="B11" i="5"/>
  <c r="B10" i="5"/>
  <c r="B8" i="5"/>
  <c r="B7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B6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/>
  <c r="B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35" i="5" l="1"/>
</calcChain>
</file>

<file path=xl/sharedStrings.xml><?xml version="1.0" encoding="utf-8"?>
<sst xmlns="http://schemas.openxmlformats.org/spreadsheetml/2006/main" count="220" uniqueCount="78">
  <si>
    <t>1월</t>
    <phoneticPr fontId="1" type="noConversion"/>
  </si>
  <si>
    <t>2월</t>
    <phoneticPr fontId="1" type="noConversion"/>
  </si>
  <si>
    <t>3월</t>
    <phoneticPr fontId="1" type="noConversion"/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</si>
  <si>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</si>
  <si>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</si>
  <si>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</si>
  <si>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</si>
  <si>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</si>
  <si>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</si>
  <si>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</si>
  <si>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</si>
  <si>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</si>
  <si>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자치구</t>
    <phoneticPr fontId="1" type="noConversion"/>
  </si>
  <si>
    <t>종로구</t>
  </si>
  <si>
    <t>중구</t>
  </si>
  <si>
    <t>강남구</t>
  </si>
  <si>
    <t>강동구</t>
  </si>
  <si>
    <t>강북구</t>
  </si>
  <si>
    <t>강서구</t>
  </si>
  <si>
    <t>관악구</t>
  </si>
  <si>
    <t>광진구</t>
  </si>
  <si>
    <t>구로구</t>
  </si>
  <si>
    <t>금천구</t>
  </si>
  <si>
    <t>노원구</t>
  </si>
  <si>
    <t>도봉구</t>
  </si>
  <si>
    <t>동대문구</t>
  </si>
  <si>
    <t>동작구</t>
  </si>
  <si>
    <t>마포구</t>
  </si>
  <si>
    <t>서대문구</t>
  </si>
  <si>
    <t>서초구</t>
  </si>
  <si>
    <t>성동구</t>
  </si>
  <si>
    <t>성북구</t>
  </si>
  <si>
    <t>송파구</t>
  </si>
  <si>
    <t>양천구</t>
  </si>
  <si>
    <t>영등포구</t>
  </si>
  <si>
    <t>용산구</t>
  </si>
  <si>
    <t>은평구</t>
  </si>
  <si>
    <t>중랑구</t>
  </si>
  <si>
    <t>자치구id</t>
    <phoneticPr fontId="1" type="noConversion"/>
  </si>
  <si>
    <t>2018-spring</t>
    <phoneticPr fontId="1" type="noConversion"/>
  </si>
  <si>
    <t>2018-summer</t>
    <phoneticPr fontId="1" type="noConversion"/>
  </si>
  <si>
    <t>2018-autumn</t>
    <phoneticPr fontId="1" type="noConversion"/>
  </si>
  <si>
    <t>2018-winter</t>
    <phoneticPr fontId="1" type="noConversion"/>
  </si>
  <si>
    <t>2019-winter</t>
  </si>
  <si>
    <t>2019-spring</t>
  </si>
  <si>
    <t>2019-summer</t>
  </si>
  <si>
    <t>2019-autumn</t>
  </si>
  <si>
    <t>2020-winter</t>
  </si>
  <si>
    <t>2020-spring</t>
  </si>
  <si>
    <t>2020-summer</t>
  </si>
  <si>
    <t>2020-autumn</t>
  </si>
  <si>
    <t>gangnam</t>
    <phoneticPr fontId="1" type="noConversion"/>
  </si>
  <si>
    <t>gangdong</t>
    <phoneticPr fontId="1" type="noConversion"/>
  </si>
  <si>
    <t>gangbuk</t>
    <phoneticPr fontId="1" type="noConversion"/>
  </si>
  <si>
    <t>gangseo</t>
    <phoneticPr fontId="1" type="noConversion"/>
  </si>
  <si>
    <t>gwanak</t>
    <phoneticPr fontId="1" type="noConversion"/>
  </si>
  <si>
    <t>gwangjin</t>
    <phoneticPr fontId="1" type="noConversion"/>
  </si>
  <si>
    <t>guro</t>
    <phoneticPr fontId="1" type="noConversion"/>
  </si>
  <si>
    <t>geumcheon</t>
    <phoneticPr fontId="1" type="noConversion"/>
  </si>
  <si>
    <t>nowon</t>
    <phoneticPr fontId="1" type="noConversion"/>
  </si>
  <si>
    <t>dobong</t>
    <phoneticPr fontId="1" type="noConversion"/>
  </si>
  <si>
    <t>dongdaemun</t>
    <phoneticPr fontId="1" type="noConversion"/>
  </si>
  <si>
    <t>dongjak</t>
    <phoneticPr fontId="1" type="noConversion"/>
  </si>
  <si>
    <t>mapo</t>
    <phoneticPr fontId="1" type="noConversion"/>
  </si>
  <si>
    <t>seodaemun</t>
    <phoneticPr fontId="1" type="noConversion"/>
  </si>
  <si>
    <t>seocho</t>
    <phoneticPr fontId="1" type="noConversion"/>
  </si>
  <si>
    <t>sungdong</t>
    <phoneticPr fontId="1" type="noConversion"/>
  </si>
  <si>
    <t>sungbuk</t>
    <phoneticPr fontId="1" type="noConversion"/>
  </si>
  <si>
    <t>songpa</t>
    <phoneticPr fontId="1" type="noConversion"/>
  </si>
  <si>
    <t>yangcheon</t>
    <phoneticPr fontId="1" type="noConversion"/>
  </si>
  <si>
    <t>yeongdeungpo</t>
    <phoneticPr fontId="1" type="noConversion"/>
  </si>
  <si>
    <t>youngsan</t>
    <phoneticPr fontId="1" type="noConversion"/>
  </si>
  <si>
    <t>eunpyeong</t>
    <phoneticPr fontId="1" type="noConversion"/>
  </si>
  <si>
    <t>jongno</t>
    <phoneticPr fontId="1" type="noConversion"/>
  </si>
  <si>
    <t>junggu</t>
    <phoneticPr fontId="1" type="noConversion"/>
  </si>
  <si>
    <t>jungnang</t>
    <phoneticPr fontId="1" type="noConversion"/>
  </si>
  <si>
    <t>2021-winter</t>
    <phoneticPr fontId="1" type="noConversion"/>
  </si>
  <si>
    <t>sum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</si>
</sst>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_ "/>
    <numFmt numFmtId="177" formatCode="0.00000_);[Red]\(0.00000\)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Fill="1">
      <alignment vertical="center"/>
    </xf>
    <xf numFmtId="0" fontId="2" fillId="0" borderId="0" xfId="0" applyFont="1">
      <alignment vertical="center"/>
    </xf>
    <xf numFmtId="0" fontId="3" fillId="0" borderId="0" xfId="0" applyFont="1" applyAlignment="1"/>
    <xf numFmtId="176" fontId="2" fillId="0" borderId="0" xfId="0" applyNumberFormat="1" applyFont="1">
      <alignment vertical="center"/>
    </xf>
    <xf numFmtId="176" fontId="0" fillId="0" borderId="0" xfId="0" applyNumberFormat="1">
      <alignment vertical="center"/>
    </xf>
    <xf numFmtId="176" fontId="3" fillId="0" borderId="0" xfId="0" applyNumberFormat="1" applyFont="1" applyAlignment="1"/>
    <xf numFmtId="176" fontId="0" fillId="0" borderId="0" xfId="0" applyNumberFormat="1" applyFill="1">
      <alignment vertical="center"/>
    </xf>
    <xf numFmtId="177" fontId="2" fillId="0" borderId="0" xfId="0" applyNumberFormat="1" applyFont="1">
      <alignment vertical="center"/>
    </xf>
    <xf numFmtId="177" fontId="0" fillId="0" borderId="0" xfId="0" applyNumberFormat="1">
      <alignment vertical="center"/>
    </xf>
    <xf numFmtId="177" fontId="3" fillId="0" borderId="0" xfId="0" applyNumberFormat="1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46384;&#47497;&#51060;_&#51312;&#49324;&#51088;&#47308;_201801_20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tio"/>
      <sheetName val="season"/>
      <sheetName val="2018년"/>
      <sheetName val="2019년"/>
      <sheetName val="2020년"/>
      <sheetName val="자치구 - 자치구 id"/>
    </sheetNames>
    <sheetDataSet>
      <sheetData sheetId="0"/>
      <sheetData sheetId="1">
        <row r="4">
          <cell r="B4">
            <v>6284.5</v>
          </cell>
          <cell r="C4">
            <v>3524</v>
          </cell>
          <cell r="D4">
            <v>1947.5</v>
          </cell>
          <cell r="E4">
            <v>3521.5</v>
          </cell>
          <cell r="F4">
            <v>4680.5</v>
          </cell>
          <cell r="G4">
            <v>8858.5</v>
          </cell>
          <cell r="H4">
            <v>3998</v>
          </cell>
          <cell r="I4">
            <v>2108.5</v>
          </cell>
          <cell r="J4">
            <v>3247.5</v>
          </cell>
          <cell r="K4">
            <v>853</v>
          </cell>
          <cell r="L4">
            <v>6564</v>
          </cell>
          <cell r="M4">
            <v>3636</v>
          </cell>
          <cell r="N4">
            <v>19080</v>
          </cell>
          <cell r="O4">
            <v>8064</v>
          </cell>
          <cell r="P4">
            <v>6972.5</v>
          </cell>
          <cell r="Q4">
            <v>10688.5</v>
          </cell>
          <cell r="R4">
            <v>4008.5</v>
          </cell>
          <cell r="S4">
            <v>7209</v>
          </cell>
          <cell r="T4">
            <v>2320</v>
          </cell>
          <cell r="U4">
            <v>16578.5</v>
          </cell>
          <cell r="V4">
            <v>3192.5</v>
          </cell>
          <cell r="W4">
            <v>4642</v>
          </cell>
          <cell r="X4">
            <v>15164</v>
          </cell>
          <cell r="Y4">
            <v>6683</v>
          </cell>
          <cell r="Z4">
            <v>3071.5</v>
          </cell>
          <cell r="AB4">
            <v>156897.5</v>
          </cell>
        </row>
        <row r="5">
          <cell r="B5">
            <v>25205.333333333332</v>
          </cell>
          <cell r="C5">
            <v>18207</v>
          </cell>
          <cell r="D5">
            <v>10270.666666666666</v>
          </cell>
          <cell r="E5">
            <v>19386</v>
          </cell>
          <cell r="F5">
            <v>21070.333333333332</v>
          </cell>
          <cell r="G5">
            <v>41710.333333333336</v>
          </cell>
          <cell r="H5">
            <v>19932.333333333332</v>
          </cell>
          <cell r="I5">
            <v>7949.333333333333</v>
          </cell>
          <cell r="J5">
            <v>23944.666666666668</v>
          </cell>
          <cell r="K5">
            <v>6257.666666666667</v>
          </cell>
          <cell r="L5">
            <v>23777</v>
          </cell>
          <cell r="M5">
            <v>17357</v>
          </cell>
          <cell r="N5">
            <v>66674.333333333328</v>
          </cell>
          <cell r="O5">
            <v>25973.333333333332</v>
          </cell>
          <cell r="P5">
            <v>28574.333333333332</v>
          </cell>
          <cell r="Q5">
            <v>39817.333333333336</v>
          </cell>
          <cell r="R5">
            <v>19628.333333333332</v>
          </cell>
          <cell r="S5">
            <v>41613.333333333336</v>
          </cell>
          <cell r="T5">
            <v>14422.666666666666</v>
          </cell>
          <cell r="U5">
            <v>63849.666666666664</v>
          </cell>
          <cell r="V5">
            <v>15895</v>
          </cell>
          <cell r="W5">
            <v>19168.666666666668</v>
          </cell>
          <cell r="X5">
            <v>40530.666666666664</v>
          </cell>
          <cell r="Y5">
            <v>18324</v>
          </cell>
          <cell r="Z5">
            <v>16226.333333333334</v>
          </cell>
          <cell r="AB5">
            <v>645765.66666666651</v>
          </cell>
        </row>
        <row r="6">
          <cell r="B6">
            <v>45762.666666666664</v>
          </cell>
          <cell r="C6">
            <v>36915.333333333336</v>
          </cell>
          <cell r="D6">
            <v>19013</v>
          </cell>
          <cell r="E6">
            <v>43520.333333333336</v>
          </cell>
          <cell r="F6">
            <v>40725</v>
          </cell>
          <cell r="G6">
            <v>65779.666666666672</v>
          </cell>
          <cell r="H6">
            <v>37777.666666666664</v>
          </cell>
          <cell r="I6">
            <v>14604.666666666666</v>
          </cell>
          <cell r="J6">
            <v>45220</v>
          </cell>
          <cell r="K6">
            <v>11955.666666666666</v>
          </cell>
          <cell r="L6">
            <v>37269.666666666664</v>
          </cell>
          <cell r="M6">
            <v>30816.666666666668</v>
          </cell>
          <cell r="N6">
            <v>97026.666666666672</v>
          </cell>
          <cell r="O6">
            <v>38863.333333333336</v>
          </cell>
          <cell r="P6">
            <v>47538</v>
          </cell>
          <cell r="Q6">
            <v>57087</v>
          </cell>
          <cell r="R6">
            <v>33400</v>
          </cell>
          <cell r="S6">
            <v>74441.333333333328</v>
          </cell>
          <cell r="T6">
            <v>27678</v>
          </cell>
          <cell r="U6">
            <v>95214.333333333328</v>
          </cell>
          <cell r="V6">
            <v>25484.666666666668</v>
          </cell>
          <cell r="W6">
            <v>30854.666666666668</v>
          </cell>
          <cell r="X6">
            <v>57964.666666666664</v>
          </cell>
          <cell r="Y6">
            <v>26159.666666666668</v>
          </cell>
          <cell r="Z6">
            <v>28886.666666666668</v>
          </cell>
          <cell r="AB6">
            <v>1069959.3333333335</v>
          </cell>
        </row>
        <row r="7">
          <cell r="B7">
            <v>55674.666666666664</v>
          </cell>
          <cell r="C7">
            <v>42798.333333333336</v>
          </cell>
          <cell r="D7">
            <v>21289.666666666668</v>
          </cell>
          <cell r="E7">
            <v>48165.333333333336</v>
          </cell>
          <cell r="F7">
            <v>42760</v>
          </cell>
          <cell r="G7">
            <v>72745.333333333328</v>
          </cell>
          <cell r="H7">
            <v>41653.666666666664</v>
          </cell>
          <cell r="I7">
            <v>16574.333333333332</v>
          </cell>
          <cell r="J7">
            <v>53416.666666666664</v>
          </cell>
          <cell r="K7">
            <v>13931</v>
          </cell>
          <cell r="L7">
            <v>42130.333333333336</v>
          </cell>
          <cell r="M7">
            <v>33666.333333333336</v>
          </cell>
          <cell r="N7">
            <v>100158</v>
          </cell>
          <cell r="O7">
            <v>38802</v>
          </cell>
          <cell r="P7">
            <v>53933.333333333336</v>
          </cell>
          <cell r="Q7">
            <v>59751</v>
          </cell>
          <cell r="R7">
            <v>39325</v>
          </cell>
          <cell r="S7">
            <v>92516.333333333328</v>
          </cell>
          <cell r="T7">
            <v>32936</v>
          </cell>
          <cell r="U7">
            <v>103208.33333333333</v>
          </cell>
          <cell r="V7">
            <v>27510.666666666668</v>
          </cell>
          <cell r="W7">
            <v>32654.666666666668</v>
          </cell>
          <cell r="X7">
            <v>60472.666666666664</v>
          </cell>
          <cell r="Y7">
            <v>28655</v>
          </cell>
          <cell r="Z7">
            <v>30823.333333333332</v>
          </cell>
          <cell r="AB7">
            <v>1185552</v>
          </cell>
        </row>
        <row r="8">
          <cell r="B8">
            <v>19601.333333333332</v>
          </cell>
          <cell r="C8">
            <v>15357.666666666666</v>
          </cell>
          <cell r="D8">
            <v>7864</v>
          </cell>
          <cell r="E8">
            <v>21925.666666666668</v>
          </cell>
          <cell r="F8">
            <v>17923.666666666668</v>
          </cell>
          <cell r="G8">
            <v>28805</v>
          </cell>
          <cell r="H8">
            <v>16514.333333333332</v>
          </cell>
          <cell r="I8">
            <v>7716</v>
          </cell>
          <cell r="J8">
            <v>22093.666666666668</v>
          </cell>
          <cell r="K8">
            <v>6616.333333333333</v>
          </cell>
          <cell r="L8">
            <v>16980.333333333332</v>
          </cell>
          <cell r="M8">
            <v>11426.666666666666</v>
          </cell>
          <cell r="N8">
            <v>35624.333333333336</v>
          </cell>
          <cell r="O8">
            <v>17223.666666666668</v>
          </cell>
          <cell r="P8">
            <v>19548.666666666668</v>
          </cell>
          <cell r="Q8">
            <v>23808.666666666668</v>
          </cell>
          <cell r="R8">
            <v>15765.666666666666</v>
          </cell>
          <cell r="S8">
            <v>33542.333333333336</v>
          </cell>
          <cell r="T8">
            <v>13448.666666666666</v>
          </cell>
          <cell r="U8">
            <v>38933</v>
          </cell>
          <cell r="V8">
            <v>9187</v>
          </cell>
          <cell r="W8">
            <v>14646.333333333334</v>
          </cell>
          <cell r="X8">
            <v>28313.666666666668</v>
          </cell>
          <cell r="Y8">
            <v>14707.333333333334</v>
          </cell>
          <cell r="Z8">
            <v>11536</v>
          </cell>
          <cell r="AB8">
            <v>469110.00000000006</v>
          </cell>
        </row>
        <row r="9">
          <cell r="B9">
            <v>68040.666666666672</v>
          </cell>
          <cell r="C9">
            <v>47887.333333333336</v>
          </cell>
          <cell r="D9">
            <v>25705.333333333332</v>
          </cell>
          <cell r="E9">
            <v>78644.333333333328</v>
          </cell>
          <cell r="F9">
            <v>55299.333333333336</v>
          </cell>
          <cell r="G9">
            <v>98012</v>
          </cell>
          <cell r="H9">
            <v>49517</v>
          </cell>
          <cell r="I9">
            <v>22862.666666666668</v>
          </cell>
          <cell r="J9">
            <v>72692.333333333328</v>
          </cell>
          <cell r="K9">
            <v>23688.666666666668</v>
          </cell>
          <cell r="L9">
            <v>51072.666666666664</v>
          </cell>
          <cell r="M9">
            <v>37575</v>
          </cell>
          <cell r="N9">
            <v>110382.33333333333</v>
          </cell>
          <cell r="O9">
            <v>47257</v>
          </cell>
          <cell r="P9">
            <v>67518.666666666672</v>
          </cell>
          <cell r="Q9">
            <v>73787</v>
          </cell>
          <cell r="R9">
            <v>48367</v>
          </cell>
          <cell r="S9">
            <v>123791</v>
          </cell>
          <cell r="T9">
            <v>39208.333333333336</v>
          </cell>
          <cell r="U9">
            <v>125031.66666666667</v>
          </cell>
          <cell r="V9">
            <v>31040</v>
          </cell>
          <cell r="W9">
            <v>42153</v>
          </cell>
          <cell r="X9">
            <v>65317.666666666664</v>
          </cell>
          <cell r="Y9">
            <v>36819.333333333336</v>
          </cell>
          <cell r="Z9">
            <v>35613.666666666664</v>
          </cell>
          <cell r="AB9">
            <v>1477284</v>
          </cell>
        </row>
        <row r="10">
          <cell r="B10">
            <v>92911.333333333328</v>
          </cell>
          <cell r="C10">
            <v>79479.333333333328</v>
          </cell>
          <cell r="D10">
            <v>39713.333333333336</v>
          </cell>
          <cell r="E10">
            <v>141806</v>
          </cell>
          <cell r="F10">
            <v>81963.333333333328</v>
          </cell>
          <cell r="G10">
            <v>137023</v>
          </cell>
          <cell r="H10">
            <v>81053.666666666672</v>
          </cell>
          <cell r="I10">
            <v>33777</v>
          </cell>
          <cell r="J10">
            <v>109409.33333333333</v>
          </cell>
          <cell r="K10">
            <v>37538.333333333336</v>
          </cell>
          <cell r="L10">
            <v>76355</v>
          </cell>
          <cell r="M10">
            <v>55069.666666666664</v>
          </cell>
          <cell r="N10">
            <v>154642.33333333334</v>
          </cell>
          <cell r="O10">
            <v>66014.666666666672</v>
          </cell>
          <cell r="P10">
            <v>101005</v>
          </cell>
          <cell r="Q10">
            <v>101711</v>
          </cell>
          <cell r="R10">
            <v>70341.333333333328</v>
          </cell>
          <cell r="S10">
            <v>185529</v>
          </cell>
          <cell r="T10">
            <v>65228.333333333336</v>
          </cell>
          <cell r="U10">
            <v>174880.66666666666</v>
          </cell>
          <cell r="V10">
            <v>44511.333333333336</v>
          </cell>
          <cell r="W10">
            <v>63736</v>
          </cell>
          <cell r="X10">
            <v>82553.666666666672</v>
          </cell>
          <cell r="Y10">
            <v>48637</v>
          </cell>
          <cell r="Z10">
            <v>56341</v>
          </cell>
          <cell r="AB10">
            <v>2181230.6666666665</v>
          </cell>
        </row>
        <row r="11">
          <cell r="B11">
            <v>83025.666666666672</v>
          </cell>
          <cell r="C11">
            <v>74904.666666666672</v>
          </cell>
          <cell r="D11">
            <v>35778</v>
          </cell>
          <cell r="E11">
            <v>133885.66666666666</v>
          </cell>
          <cell r="F11">
            <v>67242.666666666672</v>
          </cell>
          <cell r="G11">
            <v>125907.33333333333</v>
          </cell>
          <cell r="H11">
            <v>74381.333333333328</v>
          </cell>
          <cell r="I11">
            <v>30767.666666666668</v>
          </cell>
          <cell r="J11">
            <v>101007.33333333333</v>
          </cell>
          <cell r="K11">
            <v>34309.666666666664</v>
          </cell>
          <cell r="L11">
            <v>71598.666666666672</v>
          </cell>
          <cell r="M11">
            <v>51397.333333333336</v>
          </cell>
          <cell r="N11">
            <v>140584.66666666666</v>
          </cell>
          <cell r="O11">
            <v>56481.666666666664</v>
          </cell>
          <cell r="P11">
            <v>90675.666666666672</v>
          </cell>
          <cell r="Q11">
            <v>94624</v>
          </cell>
          <cell r="R11">
            <v>66984.333333333328</v>
          </cell>
          <cell r="S11">
            <v>174084.66666666666</v>
          </cell>
          <cell r="T11">
            <v>61155</v>
          </cell>
          <cell r="U11">
            <v>164484</v>
          </cell>
          <cell r="V11">
            <v>41628</v>
          </cell>
          <cell r="W11">
            <v>60288.666666666664</v>
          </cell>
          <cell r="X11">
            <v>82493</v>
          </cell>
          <cell r="Y11">
            <v>47468.666666666664</v>
          </cell>
          <cell r="Z11">
            <v>53937.333333333336</v>
          </cell>
          <cell r="AB11">
            <v>2019095.6666666667</v>
          </cell>
        </row>
        <row r="12">
          <cell r="B12">
            <v>30948.333333333332</v>
          </cell>
          <cell r="C12">
            <v>28579.333333333332</v>
          </cell>
          <cell r="D12">
            <v>14090.333333333334</v>
          </cell>
          <cell r="E12">
            <v>56344.333333333336</v>
          </cell>
          <cell r="F12">
            <v>27155.333333333332</v>
          </cell>
          <cell r="G12">
            <v>48200.333333333336</v>
          </cell>
          <cell r="H12">
            <v>29269</v>
          </cell>
          <cell r="I12">
            <v>14117</v>
          </cell>
          <cell r="J12">
            <v>41543</v>
          </cell>
          <cell r="K12">
            <v>13726</v>
          </cell>
          <cell r="L12">
            <v>30411</v>
          </cell>
          <cell r="M12">
            <v>17826.333333333332</v>
          </cell>
          <cell r="N12">
            <v>53060.333333333336</v>
          </cell>
          <cell r="O12">
            <v>25130.333333333332</v>
          </cell>
          <cell r="P12">
            <v>33436.666666666664</v>
          </cell>
          <cell r="Q12">
            <v>38160</v>
          </cell>
          <cell r="R12">
            <v>27284.666666666668</v>
          </cell>
          <cell r="S12">
            <v>62701</v>
          </cell>
          <cell r="T12">
            <v>26546.333333333332</v>
          </cell>
          <cell r="U12">
            <v>61173</v>
          </cell>
          <cell r="V12">
            <v>14603.666666666666</v>
          </cell>
          <cell r="W12">
            <v>24543.333333333332</v>
          </cell>
          <cell r="X12">
            <v>38774</v>
          </cell>
          <cell r="Y12">
            <v>22076.666666666668</v>
          </cell>
          <cell r="Z12">
            <v>22032.666666666668</v>
          </cell>
          <cell r="AB12">
            <v>801732.99999999988</v>
          </cell>
        </row>
        <row r="13">
          <cell r="B13">
            <v>75551.666666666672</v>
          </cell>
          <cell r="C13">
            <v>78431.333333333328</v>
          </cell>
          <cell r="D13">
            <v>38453.333333333336</v>
          </cell>
          <cell r="E13">
            <v>144834.66666666666</v>
          </cell>
          <cell r="F13">
            <v>65466</v>
          </cell>
          <cell r="G13">
            <v>117342.33333333333</v>
          </cell>
          <cell r="H13">
            <v>73533</v>
          </cell>
          <cell r="I13">
            <v>31724.333333333332</v>
          </cell>
          <cell r="J13">
            <v>104261</v>
          </cell>
          <cell r="K13">
            <v>38782.333333333336</v>
          </cell>
          <cell r="L13">
            <v>69622.333333333328</v>
          </cell>
          <cell r="M13">
            <v>53085.666666666664</v>
          </cell>
          <cell r="N13">
            <v>144922.33333333334</v>
          </cell>
          <cell r="O13">
            <v>57301.333333333336</v>
          </cell>
          <cell r="P13">
            <v>85492.333333333328</v>
          </cell>
          <cell r="Q13">
            <v>104218.33333333333</v>
          </cell>
          <cell r="R13">
            <v>68099</v>
          </cell>
          <cell r="S13">
            <v>167516.33333333334</v>
          </cell>
          <cell r="T13">
            <v>72946.666666666672</v>
          </cell>
          <cell r="U13">
            <v>182402.33333333334</v>
          </cell>
          <cell r="V13">
            <v>50222</v>
          </cell>
          <cell r="W13">
            <v>63626.333333333336</v>
          </cell>
          <cell r="X13">
            <v>70085.666666666672</v>
          </cell>
          <cell r="Y13">
            <v>41701.333333333336</v>
          </cell>
          <cell r="Z13">
            <v>57529.333333333336</v>
          </cell>
          <cell r="AB13">
            <v>2057151.333333333</v>
          </cell>
        </row>
        <row r="14">
          <cell r="B14">
            <v>73716</v>
          </cell>
          <cell r="C14">
            <v>89978.666666666672</v>
          </cell>
          <cell r="D14">
            <v>55212.333333333336</v>
          </cell>
          <cell r="E14">
            <v>209649.33333333334</v>
          </cell>
          <cell r="F14">
            <v>86056.333333333328</v>
          </cell>
          <cell r="G14">
            <v>114176.33333333333</v>
          </cell>
          <cell r="H14">
            <v>96316.333333333328</v>
          </cell>
          <cell r="I14">
            <v>40849</v>
          </cell>
          <cell r="J14">
            <v>138784.33333333334</v>
          </cell>
          <cell r="K14">
            <v>49863.333333333336</v>
          </cell>
          <cell r="L14">
            <v>85460.333333333328</v>
          </cell>
          <cell r="M14">
            <v>61339</v>
          </cell>
          <cell r="N14">
            <v>147895.33333333334</v>
          </cell>
          <cell r="O14">
            <v>62294.666666666664</v>
          </cell>
          <cell r="P14">
            <v>91135.333333333328</v>
          </cell>
          <cell r="Q14">
            <v>96591.333333333328</v>
          </cell>
          <cell r="R14">
            <v>74499</v>
          </cell>
          <cell r="S14">
            <v>171042.66666666666</v>
          </cell>
          <cell r="T14">
            <v>106997.33333333333</v>
          </cell>
          <cell r="U14">
            <v>193225</v>
          </cell>
          <cell r="V14">
            <v>51439.666666666664</v>
          </cell>
          <cell r="W14">
            <v>74654</v>
          </cell>
          <cell r="X14">
            <v>80864.666666666672</v>
          </cell>
          <cell r="Y14">
            <v>49325.666666666664</v>
          </cell>
          <cell r="Z14">
            <v>68470.666666666672</v>
          </cell>
          <cell r="AB14">
            <v>2369836.6666666665</v>
          </cell>
        </row>
        <row r="15">
          <cell r="B15">
            <v>80484.666666666672</v>
          </cell>
          <cell r="C15">
            <v>91494.333333333328</v>
          </cell>
          <cell r="D15">
            <v>50442.333333333336</v>
          </cell>
          <cell r="E15">
            <v>237816.33333333334</v>
          </cell>
          <cell r="F15">
            <v>88453.666666666672</v>
          </cell>
          <cell r="G15">
            <v>118630.66666666667</v>
          </cell>
          <cell r="H15">
            <v>108035.33333333333</v>
          </cell>
          <cell r="I15">
            <v>46602.333333333336</v>
          </cell>
          <cell r="J15">
            <v>139515.66666666666</v>
          </cell>
          <cell r="K15">
            <v>55611.666666666664</v>
          </cell>
          <cell r="L15">
            <v>92437.333333333328</v>
          </cell>
          <cell r="M15">
            <v>65979.666666666672</v>
          </cell>
          <cell r="N15">
            <v>153510</v>
          </cell>
          <cell r="O15">
            <v>64951</v>
          </cell>
          <cell r="P15">
            <v>98448</v>
          </cell>
          <cell r="Q15">
            <v>109108.33333333333</v>
          </cell>
          <cell r="R15">
            <v>74390</v>
          </cell>
          <cell r="S15">
            <v>184471.33333333334</v>
          </cell>
          <cell r="T15">
            <v>129918.66666666667</v>
          </cell>
          <cell r="U15">
            <v>206534</v>
          </cell>
          <cell r="V15">
            <v>58826.333333333336</v>
          </cell>
          <cell r="W15">
            <v>77689.333333333328</v>
          </cell>
          <cell r="X15">
            <v>94583.333333333328</v>
          </cell>
          <cell r="Y15">
            <v>57136</v>
          </cell>
          <cell r="Z15">
            <v>74718.666666666672</v>
          </cell>
          <cell r="AB15">
            <v>2559789</v>
          </cell>
        </row>
        <row r="16">
          <cell r="B16">
            <v>38004</v>
          </cell>
          <cell r="C16">
            <v>42373</v>
          </cell>
          <cell r="D16">
            <v>24392</v>
          </cell>
          <cell r="E16">
            <v>104049</v>
          </cell>
          <cell r="F16">
            <v>41420</v>
          </cell>
          <cell r="G16">
            <v>57882</v>
          </cell>
          <cell r="H16">
            <v>49223</v>
          </cell>
          <cell r="I16">
            <v>22571</v>
          </cell>
          <cell r="J16">
            <v>66005</v>
          </cell>
          <cell r="K16">
            <v>25159</v>
          </cell>
          <cell r="L16">
            <v>49490</v>
          </cell>
          <cell r="M16">
            <v>28387</v>
          </cell>
          <cell r="N16">
            <v>66393</v>
          </cell>
          <cell r="O16">
            <v>34464</v>
          </cell>
          <cell r="P16">
            <v>43259</v>
          </cell>
          <cell r="Q16">
            <v>50643</v>
          </cell>
          <cell r="R16">
            <v>39380</v>
          </cell>
          <cell r="S16">
            <v>85064</v>
          </cell>
          <cell r="T16">
            <v>61832</v>
          </cell>
          <cell r="U16">
            <v>93726</v>
          </cell>
          <cell r="V16">
            <v>24055</v>
          </cell>
          <cell r="W16">
            <v>31568</v>
          </cell>
          <cell r="X16">
            <v>50717</v>
          </cell>
          <cell r="Y16">
            <v>28465</v>
          </cell>
          <cell r="Z16">
            <v>30258</v>
          </cell>
          <cell r="AB16">
            <v>1188779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511BA-A396-40CA-8C4A-38FBD8B0A9C2}">
  <dimension ref="A2:AB97"/>
  <sheetViews>
    <sheetView zoomScale="70" zoomScaleNormal="70" workbookViewId="0">
      <selection activeCell="B4" sqref="B4"/>
    </sheetView>
  </sheetViews>
  <sheetFormatPr baseColWidth="10" defaultColWidth="11.1640625" defaultRowHeight="17"/>
  <cols>
    <col min="1" max="1" width="13.33203125" bestFit="1" customWidth="1"/>
    <col min="2" max="3" width="11.83203125" bestFit="1" customWidth="1"/>
    <col min="5" max="22" width="11.83203125" bestFit="1" customWidth="1"/>
  </cols>
  <sheetData>
    <row r="2" spans="1:28">
      <c r="B2" t="s">
        <v>12</v>
      </c>
    </row>
    <row r="3" spans="1:28">
      <c r="B3" s="1" t="s">
        <v>51</v>
      </c>
      <c r="C3" s="1" t="s">
        <v>52</v>
      </c>
      <c r="D3" s="1" t="s">
        <v>53</v>
      </c>
      <c r="E3" s="1" t="s">
        <v>54</v>
      </c>
      <c r="F3" s="1" t="s">
        <v>55</v>
      </c>
      <c r="G3" s="1" t="s">
        <v>56</v>
      </c>
      <c r="H3" s="1" t="s">
        <v>57</v>
      </c>
      <c r="I3" s="1" t="s">
        <v>58</v>
      </c>
      <c r="J3" s="1" t="s">
        <v>59</v>
      </c>
      <c r="K3" s="1" t="s">
        <v>60</v>
      </c>
      <c r="L3" s="1" t="s">
        <v>61</v>
      </c>
      <c r="M3" s="1" t="s">
        <v>62</v>
      </c>
      <c r="N3" s="1" t="s">
        <v>63</v>
      </c>
      <c r="O3" s="1" t="s">
        <v>64</v>
      </c>
      <c r="P3" s="1" t="s">
        <v>65</v>
      </c>
      <c r="Q3" s="1" t="s">
        <v>66</v>
      </c>
      <c r="R3" s="1" t="s">
        <v>67</v>
      </c>
      <c r="S3" s="1" t="s">
        <v>68</v>
      </c>
      <c r="T3" s="1" t="s">
        <v>69</v>
      </c>
      <c r="U3" s="1" t="s">
        <v>70</v>
      </c>
      <c r="V3" s="1" t="s">
        <v>71</v>
      </c>
      <c r="W3" s="1" t="s">
        <v>72</v>
      </c>
      <c r="X3" s="1" t="s">
        <v>73</v>
      </c>
      <c r="Y3" s="1" t="s">
        <v>74</v>
      </c>
      <c r="Z3" s="1" t="s">
        <v>75</v>
      </c>
    </row>
    <row r="4" spans="1:28">
      <c r="A4" t="s">
        <v>42</v>
      </c>
      <c r="B4" s="4">
        <f>season!B4 / season!$AB4 * 100</f>
        <v>2.9985631032310165</v>
      </c>
      <c r="C4" s="4">
        <f>season!C4 / season!$AB4 * 100</f>
        <v>1.8178881845252102</v>
      </c>
      <c r="D4" s="4">
        <f>season!D4 / season!$AB4 * 100</f>
        <v>0</v>
      </c>
      <c r="E4" s="4">
        <f>season!E4 / season!$AB4 * 100</f>
        <v>3.6609743225278031</v>
      </c>
      <c r="F4" s="4">
        <f>season!F4 / season!$AB4 * 100</f>
        <v>4.2624620998947709</v>
      </c>
      <c r="G4" s="4">
        <f>season!G4 / season!$AB4 * 100</f>
        <v>6.8559446985205827</v>
      </c>
      <c r="H4" s="4">
        <f>season!H4 / season!$AB4 * 100</f>
        <v>3.4946172052296256</v>
      </c>
      <c r="I4" s="4">
        <f>season!I4 / season!$AB4 * 100</f>
        <v>5.2125083048816521</v>
      </c>
      <c r="J4" s="4">
        <f>season!J4 / season!$AB4 * 100</f>
        <v>4.2946696504398343</v>
      </c>
      <c r="K4" s="4">
        <f>season!K4 / season!$AB4 * 100</f>
        <v>2.4733340204112544</v>
      </c>
      <c r="L4" s="4">
        <f>season!L4 / season!$AB4 * 100</f>
        <v>4.0635574520061652</v>
      </c>
      <c r="M4" s="4">
        <f>season!M4 / season!$AB4 * 100</f>
        <v>6.8465211049319938</v>
      </c>
      <c r="N4" s="4">
        <f>season!N4 / season!$AB4 * 100</f>
        <v>6.8515989457472548</v>
      </c>
      <c r="O4" s="4">
        <f>season!O4 / season!$AB4 * 100</f>
        <v>4.1779657183476004</v>
      </c>
      <c r="P4" s="4">
        <f>season!P4 / season!$AB4 * 100</f>
        <v>5.0694169159791533</v>
      </c>
      <c r="Q4" s="4">
        <f>season!Q4 / season!$AB4 * 100</f>
        <v>5.4705507175924808</v>
      </c>
      <c r="R4" s="4">
        <f>season!R4 / season!$AB4 * 100</f>
        <v>2.8025843780098199</v>
      </c>
      <c r="S4" s="4">
        <f>season!S4 / season!$AB4 * 100</f>
        <v>5.7211974592794927</v>
      </c>
      <c r="T4" s="4">
        <f>season!T4 / season!$AB4 * 100</f>
        <v>5.7153787490994157</v>
      </c>
      <c r="U4" s="4">
        <f>season!U4 / season!$AB4 * 100</f>
        <v>4.5795564788733305</v>
      </c>
      <c r="V4" s="4">
        <f>season!V4 / season!$AB4 * 100</f>
        <v>5.4509873086419836</v>
      </c>
      <c r="W4" s="4">
        <f>season!W4 / season!$AB4 * 100</f>
        <v>0</v>
      </c>
      <c r="X4" s="4">
        <f>season!X4 / season!$AB4 * 100</f>
        <v>4.2338387822728185</v>
      </c>
      <c r="Y4" s="4">
        <f>season!Y4 / season!$AB4 * 100</f>
        <v>3.945884399556749</v>
      </c>
      <c r="Z4" s="4">
        <f>season!Z4 / season!$AB4 * 100</f>
        <v>0</v>
      </c>
      <c r="AB4" s="5"/>
    </row>
    <row r="5" spans="1:28">
      <c r="A5" t="s">
        <v>39</v>
      </c>
      <c r="B5" s="4">
        <f>season!B5 / season!$AB5 * 100</f>
        <v>5.7886251209609521</v>
      </c>
      <c r="C5" s="4">
        <f>season!C5 / season!$AB5 * 100</f>
        <v>0.74311468208441045</v>
      </c>
      <c r="D5" s="4">
        <f>season!D5 / season!$AB5 * 100</f>
        <v>0</v>
      </c>
      <c r="E5" s="4">
        <f>season!E5 / season!$AB5 * 100</f>
        <v>4.1728706133455447</v>
      </c>
      <c r="F5" s="4">
        <f>season!F5 / season!$AB5 * 100</f>
        <v>3.8922402163252303</v>
      </c>
      <c r="G5" s="4">
        <f>season!G5 / season!$AB5 * 100</f>
        <v>8.2580382973576736</v>
      </c>
      <c r="H5" s="4">
        <f>season!H5 / season!$AB5 * 100</f>
        <v>3.9061559650750843</v>
      </c>
      <c r="I5" s="4">
        <f>season!I5 / season!$AB5 * 100</f>
        <v>5.3602882916155554</v>
      </c>
      <c r="J5" s="4">
        <f>season!J5 / season!$AB5 * 100</f>
        <v>4.6264287437514895</v>
      </c>
      <c r="K5" s="4">
        <f>season!K5 / season!$AB5 * 100</f>
        <v>3.0508093650208257</v>
      </c>
      <c r="L5" s="4">
        <f>season!L5 / season!$AB5 * 100</f>
        <v>4.9012127293593419</v>
      </c>
      <c r="M5" s="4">
        <f>season!M5 / season!$AB5 * 100</f>
        <v>5.4735356033745139</v>
      </c>
      <c r="N5" s="4">
        <f>season!N5 / season!$AB5 * 100</f>
        <v>7.9359891364750714</v>
      </c>
      <c r="O5" s="4">
        <f>season!O5 / season!$AB5 * 100</f>
        <v>4.0528529426035433</v>
      </c>
      <c r="P5" s="4">
        <f>season!P5 / season!$AB5 * 100</f>
        <v>5.0146344231473412</v>
      </c>
      <c r="Q5" s="4">
        <f>season!Q5 / season!$AB5 * 100</f>
        <v>5.4645279703688647</v>
      </c>
      <c r="R5" s="4">
        <f>season!R5 / season!$AB5 * 100</f>
        <v>3.035005117623653</v>
      </c>
      <c r="S5" s="4">
        <f>season!S5 / season!$AB5 * 100</f>
        <v>4.4244471877058098</v>
      </c>
      <c r="T5" s="4">
        <f>season!T5 / season!$AB5 * 100</f>
        <v>5.4532748467589931</v>
      </c>
      <c r="U5" s="4">
        <f>season!U5 / season!$AB5 * 100</f>
        <v>3.9661628035367951</v>
      </c>
      <c r="V5" s="4">
        <f>season!V5 / season!$AB5 * 100</f>
        <v>4.6516942604148275</v>
      </c>
      <c r="W5" s="4">
        <f>season!W5 / season!$AB5 * 100</f>
        <v>0</v>
      </c>
      <c r="X5" s="4">
        <f>season!X5 / season!$AB5 * 100</f>
        <v>3.0651559654320284</v>
      </c>
      <c r="Y5" s="4">
        <f>season!Y5 / season!$AB5 * 100</f>
        <v>2.7629357176624665</v>
      </c>
      <c r="Z5" s="4">
        <f>season!Z5 / season!$AB5 * 100</f>
        <v>0</v>
      </c>
      <c r="AB5" s="5"/>
    </row>
    <row r="6" spans="1:28">
      <c r="A6" t="s">
        <v>40</v>
      </c>
      <c r="B6" s="4">
        <f>season!B6 / season!$AB6 * 100</f>
        <v>5.788354828549604</v>
      </c>
      <c r="C6" s="4">
        <f>season!C6 / season!$AB6 * 100</f>
        <v>1.065267514696171</v>
      </c>
      <c r="D6" s="4">
        <f>season!D6 / season!$AB6 * 100</f>
        <v>0</v>
      </c>
      <c r="E6" s="4">
        <f>season!E6 / season!$AB6 * 100</f>
        <v>4.1348249253630707</v>
      </c>
      <c r="F6" s="4">
        <f>season!F6 / season!$AB6 * 100</f>
        <v>3.7606217238258832</v>
      </c>
      <c r="G6" s="4">
        <f>season!G6 / season!$AB6 * 100</f>
        <v>8.2265314806368561</v>
      </c>
      <c r="H6" s="4">
        <f>season!H6 / season!$AB6 * 100</f>
        <v>3.7284119179956727</v>
      </c>
      <c r="I6" s="4">
        <f>season!I6 / season!$AB6 * 100</f>
        <v>5.2940579738189335</v>
      </c>
      <c r="J6" s="4">
        <f>season!J6 / season!$AB6 * 100</f>
        <v>4.4471567337001137</v>
      </c>
      <c r="K6" s="4">
        <f>season!K6 / season!$AB6 * 100</f>
        <v>3.0665741480974185</v>
      </c>
      <c r="L6" s="4">
        <f>season!L6 / season!$AB6 * 100</f>
        <v>5.0976613884211925</v>
      </c>
      <c r="M6" s="4">
        <f>season!M6 / season!$AB6 * 100</f>
        <v>5.3178322692060336</v>
      </c>
      <c r="N6" s="4">
        <f>season!N6 / season!$AB6 * 100</f>
        <v>8.1751931074613715</v>
      </c>
      <c r="O6" s="4">
        <f>season!O6 / season!$AB6 * 100</f>
        <v>4.0377337297947351</v>
      </c>
      <c r="P6" s="4">
        <f>season!P6 / season!$AB6 * 100</f>
        <v>4.8699542491681829</v>
      </c>
      <c r="Q6" s="4">
        <f>season!Q6 / season!$AB6 * 100</f>
        <v>5.530341180805399</v>
      </c>
      <c r="R6" s="4">
        <f>season!R6 / season!$AB6 * 100</f>
        <v>3.0027176227003336</v>
      </c>
      <c r="S6" s="4">
        <f>season!S6 / season!$AB6 * 100</f>
        <v>4.47772766858533</v>
      </c>
      <c r="T6" s="4">
        <f>season!T6 / season!$AB6 * 100</f>
        <v>5.2722601760455685</v>
      </c>
      <c r="U6" s="4">
        <f>season!U6 / season!$AB6 * 100</f>
        <v>4.3431344984090527</v>
      </c>
      <c r="V6" s="4">
        <f>season!V6 / season!$AB6 * 100</f>
        <v>4.6461655837786591</v>
      </c>
      <c r="W6" s="4">
        <f>season!W6 / season!$AB6 * 100</f>
        <v>0</v>
      </c>
      <c r="X6" s="4">
        <f>season!X6 / season!$AB6 * 100</f>
        <v>2.9858607214156052</v>
      </c>
      <c r="Y6" s="4">
        <f>season!Y6 / season!$AB6 * 100</f>
        <v>2.7316165575248004</v>
      </c>
      <c r="Z6" s="4">
        <f>season!Z6 / season!$AB6 * 100</f>
        <v>0</v>
      </c>
      <c r="AB6" s="5"/>
    </row>
    <row r="7" spans="1:28">
      <c r="A7" t="s">
        <v>41</v>
      </c>
      <c r="B7" s="4">
        <f>season!B7 / season!$AB7 * 100</f>
        <v>5.7351028186264523</v>
      </c>
      <c r="C7" s="4">
        <f>season!C7 / season!$AB7 * 100</f>
        <v>1.0555837020206471</v>
      </c>
      <c r="D7" s="4">
        <f>season!D7 / season!$AB7 * 100</f>
        <v>0</v>
      </c>
      <c r="E7" s="4">
        <f>season!E7 / season!$AB7 * 100</f>
        <v>4.2197613810313532</v>
      </c>
      <c r="F7" s="4">
        <f>season!F7 / season!$AB7 * 100</f>
        <v>3.7328855454258778</v>
      </c>
      <c r="G7" s="4">
        <f>season!G7 / season!$AB7 * 100</f>
        <v>8.439277293283995</v>
      </c>
      <c r="H7" s="4">
        <f>season!H7 / season!$AB7 * 100</f>
        <v>3.8407051940970738</v>
      </c>
      <c r="I7" s="4">
        <f>season!I7 / season!$AB7 * 100</f>
        <v>5.3270943564175992</v>
      </c>
      <c r="J7" s="4">
        <f>season!J7 / season!$AB7 * 100</f>
        <v>4.5600552154021567</v>
      </c>
      <c r="K7" s="4">
        <f>season!K7 / season!$AB7 * 100</f>
        <v>2.9593673487799044</v>
      </c>
      <c r="L7" s="4">
        <f>season!L7 / season!$AB7 * 100</f>
        <v>4.8767832284156176</v>
      </c>
      <c r="M7" s="4">
        <f>season!M7 / season!$AB7 * 100</f>
        <v>5.1884739976313341</v>
      </c>
      <c r="N7" s="4">
        <f>season!N7 / season!$AB7 * 100</f>
        <v>8.3553378581152451</v>
      </c>
      <c r="O7" s="4">
        <f>season!O7 / season!$AB7 * 100</f>
        <v>4.0715610216261604</v>
      </c>
      <c r="P7" s="4">
        <f>season!P7 / season!$AB7 * 100</f>
        <v>4.8881306352842007</v>
      </c>
      <c r="Q7" s="4">
        <f>season!Q7 / season!$AB7 * 100</f>
        <v>5.5637933725614781</v>
      </c>
      <c r="R7" s="4">
        <f>season!R7 / season!$AB7 * 100</f>
        <v>3.0316878822686686</v>
      </c>
      <c r="S7" s="4">
        <f>season!S7 / season!$AB7 * 100</f>
        <v>4.5773918293803488</v>
      </c>
      <c r="T7" s="4">
        <f>season!T7 / season!$AB7 * 100</f>
        <v>4.9796048846946848</v>
      </c>
      <c r="U7" s="4">
        <f>season!U7 / season!$AB7 * 100</f>
        <v>4.2592115942180806</v>
      </c>
      <c r="V7" s="4">
        <f>season!V7 / season!$AB7 * 100</f>
        <v>4.6576048640467809</v>
      </c>
      <c r="W7" s="4">
        <f>season!W7 / season!$AB7 * 100</f>
        <v>0</v>
      </c>
      <c r="X7" s="4">
        <f>season!X7 / season!$AB7 * 100</f>
        <v>3.0245231393175849</v>
      </c>
      <c r="Y7" s="4">
        <f>season!Y7 / season!$AB7 * 100</f>
        <v>2.6560628373547792</v>
      </c>
      <c r="Z7" s="4">
        <f>season!Z7 / season!$AB7 * 100</f>
        <v>0</v>
      </c>
      <c r="AB7" s="5"/>
    </row>
    <row r="8" spans="1:28">
      <c r="A8" t="s">
        <v>43</v>
      </c>
      <c r="B8" s="4">
        <f>season!B8 / season!$AB8 * 100</f>
        <v>5.750213009116445</v>
      </c>
      <c r="C8" s="4">
        <f>season!C8 / season!$AB8 * 100</f>
        <v>1.0219227380539868</v>
      </c>
      <c r="D8" s="4">
        <f>season!D8 / season!$AB8 * 100</f>
        <v>0</v>
      </c>
      <c r="E8" s="4">
        <f>season!E8 / season!$AB8 * 100</f>
        <v>4.0980943512050647</v>
      </c>
      <c r="F8" s="4">
        <f>season!F8 / season!$AB8 * 100</f>
        <v>3.726831030982066</v>
      </c>
      <c r="G8" s="4">
        <f>season!G8 / season!$AB8 * 100</f>
        <v>8.3240425536990514</v>
      </c>
      <c r="H8" s="4">
        <f>season!H8 / season!$AB8 * 100</f>
        <v>3.8925052730122847</v>
      </c>
      <c r="I8" s="4">
        <f>season!I8 / season!$AB8 * 100</f>
        <v>5.2731921195916645</v>
      </c>
      <c r="J8" s="4">
        <f>season!J8 / season!$AB8 * 100</f>
        <v>4.5142470640162209</v>
      </c>
      <c r="K8" s="4">
        <f>season!K8 / season!$AB8 * 100</f>
        <v>3.0134020482145067</v>
      </c>
      <c r="L8" s="4">
        <f>season!L8 / season!$AB8 * 100</f>
        <v>5.0937021502381752</v>
      </c>
      <c r="M8" s="4">
        <f>season!M8 / season!$AB8 * 100</f>
        <v>5.286048588181921</v>
      </c>
      <c r="N8" s="4">
        <f>season!N8 / season!$AB8 * 100</f>
        <v>8.0256639329490529</v>
      </c>
      <c r="O8" s="4">
        <f>season!O8 / season!$AB8 * 100</f>
        <v>4.0711305352357927</v>
      </c>
      <c r="P8" s="4">
        <f>season!P8 / season!$AB8 * 100</f>
        <v>4.9251783409828542</v>
      </c>
      <c r="Q8" s="4">
        <f>season!Q8 / season!$AB8 * 100</f>
        <v>5.5289701482492344</v>
      </c>
      <c r="R8" s="4">
        <f>season!R8 / season!$AB8 * 100</f>
        <v>3.0489590830777549</v>
      </c>
      <c r="S8" s="4">
        <f>season!S8 / season!$AB8 * 100</f>
        <v>4.616595300289033</v>
      </c>
      <c r="T8" s="4">
        <f>season!T8 / season!$AB8 * 100</f>
        <v>5.038990231687027</v>
      </c>
      <c r="U8" s="4">
        <f>season!U8 / season!$AB8 * 100</f>
        <v>4.318176687973609</v>
      </c>
      <c r="V8" s="4">
        <f>season!V8 / season!$AB8 * 100</f>
        <v>4.5641753034349355</v>
      </c>
      <c r="W8" s="4">
        <f>season!W8 / season!$AB8 * 100</f>
        <v>0</v>
      </c>
      <c r="X8" s="4">
        <f>season!X8 / season!$AB8 * 100</f>
        <v>3.1873628389716302</v>
      </c>
      <c r="Y8" s="4">
        <f>season!Y8 / season!$AB8 * 100</f>
        <v>2.6805966708376965</v>
      </c>
      <c r="Z8" s="4">
        <f>season!Z8 / season!$AB8 * 100</f>
        <v>0</v>
      </c>
      <c r="AB8" s="5"/>
    </row>
    <row r="9" spans="1:28">
      <c r="A9" t="s">
        <v>44</v>
      </c>
      <c r="B9" s="4">
        <f>season!B9 / season!$AB9 * 100</f>
        <v>5.7784091991762807</v>
      </c>
      <c r="C9" s="4">
        <f>season!C9 / season!$AB9 * 100</f>
        <v>1.0012198787149251</v>
      </c>
      <c r="D9" s="4">
        <f>season!D9 / season!$AB9 * 100</f>
        <v>0</v>
      </c>
      <c r="E9" s="4">
        <f>season!E9 / season!$AB9 * 100</f>
        <v>4.1745405982864341</v>
      </c>
      <c r="F9" s="4">
        <f>season!F9 / season!$AB9 * 100</f>
        <v>3.673211120628725</v>
      </c>
      <c r="G9" s="4">
        <f>season!G9 / season!$AB9 * 100</f>
        <v>8.3373245276135233</v>
      </c>
      <c r="H9" s="4">
        <f>season!H9 / season!$AB9 * 100</f>
        <v>3.8429050495956143</v>
      </c>
      <c r="I9" s="4">
        <f>season!I9 / season!$AB9 * 100</f>
        <v>5.2325689623079983</v>
      </c>
      <c r="J9" s="4">
        <f>season!J9 / season!$AB9 * 100</f>
        <v>4.465331735275301</v>
      </c>
      <c r="K9" s="4">
        <f>season!K9 / season!$AB9 * 100</f>
        <v>2.9579342860540012</v>
      </c>
      <c r="L9" s="4">
        <f>season!L9 / season!$AB9 * 100</f>
        <v>5.0740377983904335</v>
      </c>
      <c r="M9" s="4">
        <f>season!M9 / season!$AB9 * 100</f>
        <v>5.2957704194824036</v>
      </c>
      <c r="N9" s="4">
        <f>season!N9 / season!$AB9 * 100</f>
        <v>7.8602159346105216</v>
      </c>
      <c r="O9" s="4">
        <f>season!O9 / season!$AB9 * 100</f>
        <v>4.0984824114473737</v>
      </c>
      <c r="P9" s="4">
        <f>season!P9 / season!$AB9 * 100</f>
        <v>4.9932636471998517</v>
      </c>
      <c r="Q9" s="4">
        <f>season!Q9 / season!$AB9 * 100</f>
        <v>5.6772921103513809</v>
      </c>
      <c r="R9" s="4">
        <f>season!R9 / season!$AB9 * 100</f>
        <v>3.0330001623382215</v>
      </c>
      <c r="S9" s="4">
        <f>season!S9 / season!$AB9 * 100</f>
        <v>4.7033908466136278</v>
      </c>
      <c r="T9" s="4">
        <f>season!T9 / season!$AB9 * 100</f>
        <v>5.1391622383014219</v>
      </c>
      <c r="U9" s="4">
        <f>season!U9 / season!$AB9 * 100</f>
        <v>4.3797225040855645</v>
      </c>
      <c r="V9" s="4">
        <f>season!V9 / season!$AB9 * 100</f>
        <v>4.5178742031992725</v>
      </c>
      <c r="W9" s="4">
        <f>season!W9 / season!$AB9 * 100</f>
        <v>0</v>
      </c>
      <c r="X9" s="4">
        <f>season!X9 / season!$AB9 * 100</f>
        <v>3.1005871363490223</v>
      </c>
      <c r="Y9" s="4">
        <f>season!Y9 / season!$AB9 * 100</f>
        <v>2.6637552299781069</v>
      </c>
      <c r="Z9" s="4">
        <f>season!Z9 / season!$AB9 * 100</f>
        <v>0</v>
      </c>
      <c r="AB9" s="5"/>
    </row>
    <row r="10" spans="1:28">
      <c r="A10" t="s">
        <v>45</v>
      </c>
      <c r="B10" s="4">
        <f>season!B10 / season!$AB10 * 100</f>
        <v>5.8685539059521448</v>
      </c>
      <c r="C10" s="4">
        <f>season!C10 / season!$AB10 * 100</f>
        <v>1.0226567613259763</v>
      </c>
      <c r="D10" s="4">
        <f>season!D10 / season!$AB10 * 100</f>
        <v>0</v>
      </c>
      <c r="E10" s="4">
        <f>season!E10 / season!$AB10 * 100</f>
        <v>4.1511555484541729</v>
      </c>
      <c r="F10" s="4">
        <f>season!F10 / season!$AB10 * 100</f>
        <v>3.7812310731658645</v>
      </c>
      <c r="G10" s="4">
        <f>season!G10 / season!$AB10 * 100</f>
        <v>8.2853586961289558</v>
      </c>
      <c r="H10" s="4">
        <f>season!H10 / season!$AB10 * 100</f>
        <v>3.8692297475970499</v>
      </c>
      <c r="I10" s="4">
        <f>season!I10 / season!$AB10 * 100</f>
        <v>5.3030043632066786</v>
      </c>
      <c r="J10" s="4">
        <f>season!J10 / season!$AB10 * 100</f>
        <v>4.4417184512912291</v>
      </c>
      <c r="K10" s="4">
        <f>season!K10 / season!$AB10 * 100</f>
        <v>3.0115576993748601</v>
      </c>
      <c r="L10" s="4">
        <f>season!L10 / season!$AB10 * 100</f>
        <v>5.0840214430168897</v>
      </c>
      <c r="M10" s="4">
        <f>season!M10 / season!$AB10 * 100</f>
        <v>5.3843637959118977</v>
      </c>
      <c r="N10" s="4">
        <f>season!N10 / season!$AB10 * 100</f>
        <v>7.860559747223304</v>
      </c>
      <c r="O10" s="4">
        <f>season!O10 / season!$AB10 * 100</f>
        <v>4.1014442696709468</v>
      </c>
      <c r="P10" s="4">
        <f>season!P10 / season!$AB10 * 100</f>
        <v>4.9621564773664533</v>
      </c>
      <c r="Q10" s="4">
        <f>season!Q10 / season!$AB10 * 100</f>
        <v>5.6123565741401986</v>
      </c>
      <c r="R10" s="4">
        <f>season!R10 / season!$AB10 * 100</f>
        <v>3.0733562823981959</v>
      </c>
      <c r="S10" s="4">
        <f>season!S10 / season!$AB10 * 100</f>
        <v>4.6348426701833585</v>
      </c>
      <c r="T10" s="4">
        <f>season!T10 / season!$AB10 * 100</f>
        <v>5.0506119697970178</v>
      </c>
      <c r="U10" s="4">
        <f>season!U10 / season!$AB10 * 100</f>
        <v>4.3460321280288792</v>
      </c>
      <c r="V10" s="4">
        <f>season!V10 / season!$AB10 * 100</f>
        <v>4.4141502422015391</v>
      </c>
      <c r="W10" s="4">
        <f>season!W10 / season!$AB10 * 100</f>
        <v>0</v>
      </c>
      <c r="X10" s="4">
        <f>season!X10 / season!$AB10 * 100</f>
        <v>3.1075873644047021</v>
      </c>
      <c r="Y10" s="4">
        <f>season!Y10 / season!$AB10 * 100</f>
        <v>2.6340507891596605</v>
      </c>
      <c r="Z10" s="4">
        <f>season!Z10 / season!$AB10 * 100</f>
        <v>0</v>
      </c>
      <c r="AB10" s="5"/>
    </row>
    <row r="11" spans="1:28">
      <c r="A11" t="s">
        <v>46</v>
      </c>
      <c r="B11" s="4">
        <f>season!B11 / season!$AB11 * 100</f>
        <v>5.8402463244027825</v>
      </c>
      <c r="C11" s="4">
        <f>season!C11 / season!$AB11 * 100</f>
        <v>1.0316738482881438</v>
      </c>
      <c r="D11" s="4">
        <f>season!D11 / season!$AB11 * 100</f>
        <v>0</v>
      </c>
      <c r="E11" s="4">
        <f>season!E11 / season!$AB11 * 100</f>
        <v>4.2224561458963423</v>
      </c>
      <c r="F11" s="4">
        <f>season!F11 / season!$AB11 * 100</f>
        <v>3.7149855331626465</v>
      </c>
      <c r="G11" s="4">
        <f>season!G11 / season!$AB11 * 100</f>
        <v>8.2942182513546658</v>
      </c>
      <c r="H11" s="4">
        <f>season!H11 / season!$AB11 * 100</f>
        <v>3.8369262766181516</v>
      </c>
      <c r="I11" s="4">
        <f>season!I11 / season!$AB11 * 100</f>
        <v>5.2570888749612079</v>
      </c>
      <c r="J11" s="4">
        <f>season!J11 / season!$AB11 * 100</f>
        <v>4.4309576985655541</v>
      </c>
      <c r="K11" s="4">
        <f>season!K11 / season!$AB11 * 100</f>
        <v>2.9937280240679169</v>
      </c>
      <c r="L11" s="4">
        <f>season!L11 / season!$AB11 * 100</f>
        <v>4.8814652753355086</v>
      </c>
      <c r="M11" s="4">
        <f>season!M11 / season!$AB11 * 100</f>
        <v>5.2915485620772627</v>
      </c>
      <c r="N11" s="4">
        <f>season!N11 / season!$AB11 * 100</f>
        <v>8.3136177772330857</v>
      </c>
      <c r="O11" s="4">
        <f>season!O11 / season!$AB11 * 100</f>
        <v>4.0998415555611523</v>
      </c>
      <c r="P11" s="4">
        <f>season!P11 / season!$AB11 * 100</f>
        <v>4.8997584797498721</v>
      </c>
      <c r="Q11" s="4">
        <f>season!Q11 / season!$AB11 * 100</f>
        <v>5.373254576905877</v>
      </c>
      <c r="R11" s="4">
        <f>season!R11 / season!$AB11 * 100</f>
        <v>3.0493957783909553</v>
      </c>
      <c r="S11" s="4">
        <f>season!S11 / season!$AB11 * 100</f>
        <v>4.6692367337860325</v>
      </c>
      <c r="T11" s="4">
        <f>season!T11 / season!$AB11 * 100</f>
        <v>5.0266203991120157</v>
      </c>
      <c r="U11" s="4">
        <f>season!U11 / season!$AB11 * 100</f>
        <v>4.3692372356569722</v>
      </c>
      <c r="V11" s="4">
        <f>season!V11 / season!$AB11 * 100</f>
        <v>4.565977311708612</v>
      </c>
      <c r="W11" s="4">
        <f>season!W11 / season!$AB11 * 100</f>
        <v>0</v>
      </c>
      <c r="X11" s="4">
        <f>season!X11 / season!$AB11 * 100</f>
        <v>3.1571607396840591</v>
      </c>
      <c r="Y11" s="4">
        <f>season!Y11 / season!$AB11 * 100</f>
        <v>2.6806045974812118</v>
      </c>
      <c r="Z11" s="4">
        <f>season!Z11 / season!$AB11 * 100</f>
        <v>0</v>
      </c>
      <c r="AB11" s="5"/>
    </row>
    <row r="12" spans="1:28">
      <c r="A12" t="s">
        <v>47</v>
      </c>
      <c r="B12" s="4">
        <f>season!B12 / season!$AB12 * 100</f>
        <v>5.8151896321405969</v>
      </c>
      <c r="C12" s="4">
        <f>season!C12 / season!$AB12 * 100</f>
        <v>1.0270980741617224</v>
      </c>
      <c r="D12" s="4">
        <f>season!D12 / season!$AB12 * 100</f>
        <v>0</v>
      </c>
      <c r="E12" s="4">
        <f>season!E12 / season!$AB12 * 100</f>
        <v>4.1486744070934609</v>
      </c>
      <c r="F12" s="4">
        <f>season!F12 / season!$AB12 * 100</f>
        <v>3.7976400033196365</v>
      </c>
      <c r="G12" s="4">
        <f>season!G12 / season!$AB12 * 100</f>
        <v>8.3803698152487485</v>
      </c>
      <c r="H12" s="4">
        <f>season!H12 / season!$AB12 * 100</f>
        <v>3.8955194661038348</v>
      </c>
      <c r="I12" s="4">
        <f>season!I12 / season!$AB12 * 100</f>
        <v>5.201185762034422</v>
      </c>
      <c r="J12" s="4">
        <f>season!J12 / season!$AB12 * 100</f>
        <v>4.5473132032379366</v>
      </c>
      <c r="K12" s="4">
        <f>season!K12 / season!$AB12 * 100</f>
        <v>3.0695783102301917</v>
      </c>
      <c r="L12" s="4">
        <f>season!L12 / season!$AB12 * 100</f>
        <v>4.949684406962513</v>
      </c>
      <c r="M12" s="4">
        <f>season!M12 / season!$AB12 * 100</f>
        <v>5.3467306976936202</v>
      </c>
      <c r="N12" s="4">
        <f>season!N12 / season!$AB12 * 100</f>
        <v>7.8678022000232035</v>
      </c>
      <c r="O12" s="4">
        <f>season!O12 / season!$AB12 * 100</f>
        <v>4.1186894967912808</v>
      </c>
      <c r="P12" s="4">
        <f>season!P12 / season!$AB12 * 100</f>
        <v>4.9781109653612665</v>
      </c>
      <c r="Q12" s="4">
        <f>season!Q12 / season!$AB12 * 100</f>
        <v>5.5216104661248231</v>
      </c>
      <c r="R12" s="4">
        <f>season!R12 / season!$AB12 * 100</f>
        <v>3.0843701815883402</v>
      </c>
      <c r="S12" s="4">
        <f>season!S12 / season!$AB12 * 100</f>
        <v>4.6624700490394533</v>
      </c>
      <c r="T12" s="4">
        <f>season!T12 / season!$AB12 * 100</f>
        <v>5.0296111241610353</v>
      </c>
      <c r="U12" s="4">
        <f>season!U12 / season!$AB12 * 100</f>
        <v>4.2981654788199766</v>
      </c>
      <c r="V12" s="4">
        <f>season!V12 / season!$AB12 * 100</f>
        <v>4.5075004324492065</v>
      </c>
      <c r="W12" s="4">
        <f>season!W12 / season!$AB12 * 100</f>
        <v>0</v>
      </c>
      <c r="X12" s="4">
        <f>season!X12 / season!$AB12 * 100</f>
        <v>3.1841687403010486</v>
      </c>
      <c r="Y12" s="4">
        <f>season!Y12 / season!$AB12 * 100</f>
        <v>2.568517087113654</v>
      </c>
      <c r="Z12" s="4">
        <f>season!Z12 / season!$AB12 * 100</f>
        <v>0</v>
      </c>
      <c r="AB12" s="5"/>
    </row>
    <row r="13" spans="1:28">
      <c r="A13" t="s">
        <v>48</v>
      </c>
      <c r="B13" s="4">
        <f>season!B13 / season!$AB13 * 100</f>
        <v>5.6589862936307824</v>
      </c>
      <c r="C13" s="4">
        <f>season!C13 / season!$AB13 * 100</f>
        <v>1.1643493926241335</v>
      </c>
      <c r="D13" s="4">
        <f>season!D13 / season!$AB13 * 100</f>
        <v>0</v>
      </c>
      <c r="E13" s="4">
        <f>season!E13 / season!$AB13 * 100</f>
        <v>4.2415587246119726</v>
      </c>
      <c r="F13" s="4">
        <f>season!F13 / season!$AB13 * 100</f>
        <v>3.8449858529112166</v>
      </c>
      <c r="G13" s="4">
        <f>season!G13 / season!$AB13 * 100</f>
        <v>8.5445389398548759</v>
      </c>
      <c r="H13" s="4">
        <f>season!H13 / season!$AB13 * 100</f>
        <v>3.8769968783221684</v>
      </c>
      <c r="I13" s="4">
        <f>season!I13 / season!$AB13 * 100</f>
        <v>5.2351276112474974</v>
      </c>
      <c r="J13" s="4">
        <f>season!J13 / season!$AB13 * 100</f>
        <v>4.6211944017342548</v>
      </c>
      <c r="K13" s="4">
        <f>season!K13 / season!$AB13 * 100</f>
        <v>3.074201680006178</v>
      </c>
      <c r="L13" s="4">
        <f>season!L13 / season!$AB13 * 100</f>
        <v>5.0273935840911799</v>
      </c>
      <c r="M13" s="4">
        <f>season!M13 / season!$AB13 * 100</f>
        <v>5.3715587441366788</v>
      </c>
      <c r="N13" s="4">
        <f>season!N13 / season!$AB13 * 100</f>
        <v>7.8411054684417074</v>
      </c>
      <c r="O13" s="4">
        <f>season!O13 / season!$AB13 * 100</f>
        <v>4.0203516350005568</v>
      </c>
      <c r="P13" s="4">
        <f>season!P13 / season!$AB13 * 100</f>
        <v>4.9587546437498169</v>
      </c>
      <c r="Q13" s="4">
        <f>season!Q13 / season!$AB13 * 100</f>
        <v>5.5958113271379224</v>
      </c>
      <c r="R13" s="4">
        <f>season!R13 / season!$AB13 * 100</f>
        <v>3.1746177623025869</v>
      </c>
      <c r="S13" s="4">
        <f>season!S13 / season!$AB13 * 100</f>
        <v>4.5268662870648244</v>
      </c>
      <c r="T13" s="4">
        <f>season!T13 / season!$AB13 * 100</f>
        <v>5.0297878299252492</v>
      </c>
      <c r="U13" s="4">
        <f>season!U13 / season!$AB13 * 100</f>
        <v>4.2868749902858321</v>
      </c>
      <c r="V13" s="4">
        <f>season!V13 / season!$AB13 * 100</f>
        <v>4.4115060618141886</v>
      </c>
      <c r="W13" s="4">
        <f>season!W13 / season!$AB13 * 100</f>
        <v>0</v>
      </c>
      <c r="X13" s="4">
        <f>season!X13 / season!$AB13 * 100</f>
        <v>3.0701021209757258</v>
      </c>
      <c r="Y13" s="4">
        <f>season!Y13 / season!$AB13 * 100</f>
        <v>2.4233297701306373</v>
      </c>
      <c r="Z13" s="4">
        <f>season!Z13 / season!$AB13 * 100</f>
        <v>0</v>
      </c>
      <c r="AB13" s="5"/>
    </row>
    <row r="14" spans="1:28">
      <c r="A14" t="s">
        <v>49</v>
      </c>
      <c r="B14" s="4">
        <f>season!B14 / season!$AB14 * 100</f>
        <v>5.7955414847549545</v>
      </c>
      <c r="C14" s="4">
        <f>season!C14 / season!$AB14 * 100</f>
        <v>1.2186088605142988</v>
      </c>
      <c r="D14" s="4">
        <f>season!D14 / season!$AB14 * 100</f>
        <v>0</v>
      </c>
      <c r="E14" s="4">
        <f>season!E14 / season!$AB14 * 100</f>
        <v>4.3219270518259583</v>
      </c>
      <c r="F14" s="4">
        <f>season!F14 / season!$AB14 * 100</f>
        <v>3.8676555267583623</v>
      </c>
      <c r="G14" s="4">
        <f>season!G14 / season!$AB14 * 100</f>
        <v>8.6404400548869589</v>
      </c>
      <c r="H14" s="4">
        <f>season!H14 / season!$AB14 * 100</f>
        <v>3.893495958295313</v>
      </c>
      <c r="I14" s="4">
        <f>season!I14 / season!$AB14 * 100</f>
        <v>3.4866583650032243</v>
      </c>
      <c r="J14" s="4">
        <f>season!J14 / season!$AB14 * 100</f>
        <v>4.5875432591056251</v>
      </c>
      <c r="K14" s="4">
        <f>season!K14 / season!$AB14 * 100</f>
        <v>3.1320205210294141</v>
      </c>
      <c r="L14" s="4">
        <f>season!L14 / season!$AB14 * 100</f>
        <v>5.1460654221504383</v>
      </c>
      <c r="M14" s="4">
        <f>season!M14 / season!$AB14 * 100</f>
        <v>5.4416784462679049</v>
      </c>
      <c r="N14" s="4">
        <f>season!N14 / season!$AB14 * 100</f>
        <v>7.922302254378585</v>
      </c>
      <c r="O14" s="4">
        <f>season!O14 / season!$AB14 * 100</f>
        <v>4.1750088098341385</v>
      </c>
      <c r="P14" s="4">
        <f>season!P14 / season!$AB14 * 100</f>
        <v>5.0975039364128465</v>
      </c>
      <c r="Q14" s="4">
        <f>season!Q14 / season!$AB14 * 100</f>
        <v>5.6653147709424081</v>
      </c>
      <c r="R14" s="4">
        <f>season!R14 / season!$AB14 * 100</f>
        <v>3.200594365739287</v>
      </c>
      <c r="S14" s="4">
        <f>season!S14 / season!$AB14 * 100</f>
        <v>4.6674632832753087</v>
      </c>
      <c r="T14" s="4">
        <f>season!T14 / season!$AB14 * 100</f>
        <v>5.2582334356979725</v>
      </c>
      <c r="U14" s="4">
        <f>season!U14 / season!$AB14 * 100</f>
        <v>4.1897111897142212</v>
      </c>
      <c r="V14" s="4">
        <f>season!V14 / season!$AB14 * 100</f>
        <v>4.6359148179053298</v>
      </c>
      <c r="W14" s="4">
        <f>season!W14 / season!$AB14 * 100</f>
        <v>0</v>
      </c>
      <c r="X14" s="4">
        <f>season!X14 / season!$AB14 * 100</f>
        <v>3.1380746178644219</v>
      </c>
      <c r="Y14" s="4">
        <f>season!Y14 / season!$AB14 * 100</f>
        <v>2.5182435676430424</v>
      </c>
      <c r="Z14" s="4">
        <f>season!Z14 / season!$AB14 * 100</f>
        <v>0</v>
      </c>
      <c r="AB14" s="5"/>
    </row>
    <row r="15" spans="1:28">
      <c r="A15" t="s">
        <v>50</v>
      </c>
      <c r="B15" s="4">
        <f>season!B15 / season!$AB15 * 100</f>
        <v>5.8917812052990115</v>
      </c>
      <c r="C15" s="4">
        <f>season!C15 / season!$AB15 * 100</f>
        <v>1.2109203563113529</v>
      </c>
      <c r="D15" s="4">
        <f>season!D15 / season!$AB15 * 100</f>
        <v>0</v>
      </c>
      <c r="E15" s="4">
        <f>season!E15 / season!$AB15 * 100</f>
        <v>4.6164407836644079</v>
      </c>
      <c r="F15" s="4">
        <f>season!F15 / season!$AB15 * 100</f>
        <v>3.9897336424477841</v>
      </c>
      <c r="G15" s="4">
        <f>season!G15 / season!$AB15 * 100</f>
        <v>8.9799018707726663</v>
      </c>
      <c r="H15" s="4">
        <f>season!H15 / season!$AB15 * 100</f>
        <v>4.057645761496147</v>
      </c>
      <c r="I15" s="4">
        <f>season!I15 / season!$AB15 * 100</f>
        <v>0</v>
      </c>
      <c r="J15" s="4">
        <f>season!J15 / season!$AB15 * 100</f>
        <v>4.7770721834040115</v>
      </c>
      <c r="K15" s="4">
        <f>season!K15 / season!$AB15 * 100</f>
        <v>3.2244854548923292</v>
      </c>
      <c r="L15" s="4">
        <f>season!L15 / season!$AB15 * 100</f>
        <v>5.3110481969696943</v>
      </c>
      <c r="M15" s="4">
        <f>season!M15 / season!$AB15 * 100</f>
        <v>5.5673570858624055</v>
      </c>
      <c r="N15" s="4">
        <f>season!N15 / season!$AB15 * 100</f>
        <v>8.2520081639183793</v>
      </c>
      <c r="O15" s="4">
        <f>season!O15 / season!$AB15 * 100</f>
        <v>4.1171517026192248</v>
      </c>
      <c r="P15" s="4">
        <f>season!P15 / season!$AB15 * 100</f>
        <v>5.1812670833631467</v>
      </c>
      <c r="Q15" s="4">
        <f>season!Q15 / season!$AB15 * 100</f>
        <v>5.8636953244942758</v>
      </c>
      <c r="R15" s="4">
        <f>season!R15 / season!$AB15 * 100</f>
        <v>3.2623294273653713</v>
      </c>
      <c r="S15" s="4">
        <f>season!S15 / season!$AB15 * 100</f>
        <v>5.076364511991672</v>
      </c>
      <c r="T15" s="4">
        <f>season!T15 / season!$AB15 * 100</f>
        <v>5.6889140784923713</v>
      </c>
      <c r="U15" s="4">
        <f>season!U15 / season!$AB15 * 100</f>
        <v>4.2844714895041873</v>
      </c>
      <c r="V15" s="4">
        <f>season!V15 / season!$AB15 * 100</f>
        <v>4.8979065671471718</v>
      </c>
      <c r="W15" s="4">
        <f>season!W15 / season!$AB15 * 100</f>
        <v>0</v>
      </c>
      <c r="X15" s="4">
        <f>season!X15 / season!$AB15 * 100</f>
        <v>3.3753199614459857</v>
      </c>
      <c r="Y15" s="4">
        <f>season!Y15 / season!$AB15 * 100</f>
        <v>2.3741851485384196</v>
      </c>
      <c r="Z15" s="4">
        <f>season!Z15 / season!$AB15 * 100</f>
        <v>0</v>
      </c>
      <c r="AB15" s="5"/>
    </row>
    <row r="16" spans="1:28">
      <c r="A16" t="s">
        <v>76</v>
      </c>
      <c r="B16" s="4">
        <f>season!B16 / season!$AB16 * 100</f>
        <v>5.7857688521633222</v>
      </c>
      <c r="C16" s="4">
        <f>season!C16 / season!$AB16 * 100</f>
        <v>1.2057532004211673</v>
      </c>
      <c r="D16" s="4">
        <f>season!D16 / season!$AB16 * 100</f>
        <v>0</v>
      </c>
      <c r="E16" s="4">
        <f>season!E16 / season!$AB16 * 100</f>
        <v>4.4866489146918003</v>
      </c>
      <c r="F16" s="4">
        <f>season!F16 / season!$AB16 * 100</f>
        <v>3.986518841155827</v>
      </c>
      <c r="G16" s="4">
        <f>season!G16 / season!$AB16 * 100</f>
        <v>8.879413471997518</v>
      </c>
      <c r="H16" s="4">
        <f>season!H16 / season!$AB16 * 100</f>
        <v>4.0728954052233393</v>
      </c>
      <c r="I16" s="4">
        <f>season!I16 / season!$AB16 * 100</f>
        <v>0</v>
      </c>
      <c r="J16" s="4">
        <f>season!J16 / season!$AB16 * 100</f>
        <v>4.7539535626705289</v>
      </c>
      <c r="K16" s="4">
        <f>season!K16 / season!$AB16 * 100</f>
        <v>3.2577976513504971</v>
      </c>
      <c r="L16" s="4">
        <f>season!L16 / season!$AB16 * 100</f>
        <v>5.2945512581063596</v>
      </c>
      <c r="M16" s="4">
        <f>season!M16 / season!$AB16 * 100</f>
        <v>5.4840317754487637</v>
      </c>
      <c r="N16" s="4">
        <f>season!N16 / season!$AB16 * 100</f>
        <v>8.22423596462178</v>
      </c>
      <c r="O16" s="4">
        <f>season!O16 / season!$AB16 * 100</f>
        <v>4.2763094619286885</v>
      </c>
      <c r="P16" s="4">
        <f>season!P16 / season!$AB16 * 100</f>
        <v>5.0644055068164606</v>
      </c>
      <c r="Q16" s="4">
        <f>season!Q16 / season!$AB16 * 100</f>
        <v>5.8134850081358591</v>
      </c>
      <c r="R16" s="4">
        <f>season!R16 / season!$AB16 * 100</f>
        <v>3.3027880107238521</v>
      </c>
      <c r="S16" s="4">
        <f>season!S16 / season!$AB16 * 100</f>
        <v>5.4792544351558972</v>
      </c>
      <c r="T16" s="4">
        <f>season!T16 / season!$AB16 * 100</f>
        <v>5.6091429448022581</v>
      </c>
      <c r="U16" s="4">
        <f>season!U16 / season!$AB16 * 100</f>
        <v>4.4637448532548332</v>
      </c>
      <c r="V16" s="4">
        <f>season!V16 / season!$AB16 * 100</f>
        <v>4.8237922488853409</v>
      </c>
      <c r="W16" s="4">
        <f>season!W16 / season!$AB16 * 100</f>
        <v>0</v>
      </c>
      <c r="X16" s="4">
        <f>season!X16 / season!$AB16 * 100</f>
        <v>3.4446349637766285</v>
      </c>
      <c r="Y16" s="4">
        <f>season!Y16 / season!$AB16 * 100</f>
        <v>2.2908736686692568</v>
      </c>
      <c r="Z16" s="4">
        <f>season!Z16 / season!$AB16 * 100</f>
        <v>0</v>
      </c>
      <c r="AB16" s="5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039F7-DFF7-4035-AC36-F3FBDB709DC3}">
  <dimension ref="A2:AB97"/>
  <sheetViews>
    <sheetView zoomScaleNormal="100" workbookViewId="0">
      <selection activeCell="B4" sqref="B4:Z4"/>
    </sheetView>
  </sheetViews>
  <sheetFormatPr baseColWidth="10" defaultColWidth="11.1640625" defaultRowHeight="17"/>
  <cols>
    <col min="1" max="1" width="13.33203125" bestFit="1" customWidth="1"/>
    <col min="2" max="2" width="12.6640625" bestFit="1" customWidth="1"/>
    <col min="3" max="3" width="11.83203125" bestFit="1" customWidth="1"/>
    <col min="5" max="22" width="11.83203125" bestFit="1" customWidth="1"/>
    <col min="28" max="28" width="14.5" bestFit="1" customWidth="1"/>
  </cols>
  <sheetData>
    <row r="2" spans="1:28">
      <c r="B2" t="s">
        <v>12</v>
      </c>
    </row>
    <row r="3" spans="1:28">
      <c r="B3" s="1" t="s">
        <v>51</v>
      </c>
      <c r="C3" s="1" t="s">
        <v>52</v>
      </c>
      <c r="D3" s="1" t="s">
        <v>53</v>
      </c>
      <c r="E3" s="1" t="s">
        <v>54</v>
      </c>
      <c r="F3" s="1" t="s">
        <v>55</v>
      </c>
      <c r="G3" s="1" t="s">
        <v>56</v>
      </c>
      <c r="H3" s="1" t="s">
        <v>57</v>
      </c>
      <c r="I3" s="1" t="s">
        <v>58</v>
      </c>
      <c r="J3" s="1" t="s">
        <v>59</v>
      </c>
      <c r="K3" s="1" t="s">
        <v>60</v>
      </c>
      <c r="L3" s="1" t="s">
        <v>61</v>
      </c>
      <c r="M3" s="1" t="s">
        <v>62</v>
      </c>
      <c r="N3" s="1" t="s">
        <v>63</v>
      </c>
      <c r="O3" s="1" t="s">
        <v>64</v>
      </c>
      <c r="P3" s="1" t="s">
        <v>65</v>
      </c>
      <c r="Q3" s="1" t="s">
        <v>66</v>
      </c>
      <c r="R3" s="1" t="s">
        <v>67</v>
      </c>
      <c r="S3" s="1" t="s">
        <v>68</v>
      </c>
      <c r="T3" s="1" t="s">
        <v>69</v>
      </c>
      <c r="U3" s="1" t="s">
        <v>70</v>
      </c>
      <c r="V3" s="1" t="s">
        <v>71</v>
      </c>
      <c r="W3" s="1" t="s">
        <v>72</v>
      </c>
      <c r="X3" s="1" t="s">
        <v>73</v>
      </c>
      <c r="Y3" s="1" t="s">
        <v>74</v>
      </c>
      <c r="Z3" s="1" t="s">
        <v>75</v>
      </c>
      <c r="AB3" t="s">
        <v>77</v>
      </c>
    </row>
    <row r="4" spans="1:28">
      <c r="A4" t="s">
        <v>42</v>
      </c>
      <c r="B4" s="4">
        <f>AVERAGE('2018년'!B4:B5)</f>
        <v>20994.212480037644</v>
      </c>
      <c r="C4" s="4">
        <f>AVERAGE('2018년'!C4:C5)</f>
        <v>12727.806451612903</v>
      </c>
      <c r="D4" s="4">
        <f>AVERAGE('2018년'!D4:D5)</f>
        <v>0</v>
      </c>
      <c r="E4" s="4">
        <f>AVERAGE('2018년'!E4:E5)</f>
        <v>25632.034466205841</v>
      </c>
      <c r="F4" s="4">
        <f>AVERAGE('2018년'!F4:F5)</f>
        <v>29843.305587557603</v>
      </c>
      <c r="G4" s="4">
        <f>AVERAGE('2018년'!G4:G5)</f>
        <v>48001.377592165896</v>
      </c>
      <c r="H4" s="4">
        <f>AVERAGE('2018년'!H4:H5)</f>
        <v>24467.297708002821</v>
      </c>
      <c r="I4" s="4">
        <f>AVERAGE('2018년'!I4:I5)</f>
        <v>36494.982142857145</v>
      </c>
      <c r="J4" s="4">
        <f>AVERAGE('2018년'!J4:J5)</f>
        <v>30068.804313556073</v>
      </c>
      <c r="K4" s="4">
        <f>AVERAGE('2018년'!K4:K5)</f>
        <v>17316.860833333332</v>
      </c>
      <c r="L4" s="4">
        <f>AVERAGE('2018년'!L4:L5)</f>
        <v>28450.689758815868</v>
      </c>
      <c r="M4" s="4">
        <f>AVERAGE('2018년'!M4:M5)</f>
        <v>47935.399015323143</v>
      </c>
      <c r="N4" s="4">
        <f>AVERAGE('2018년'!N4:N5)</f>
        <v>47970.951133236063</v>
      </c>
      <c r="O4" s="4">
        <f>AVERAGE('2018년'!O4:O5)</f>
        <v>29251.710571236559</v>
      </c>
      <c r="P4" s="4">
        <f>AVERAGE('2018년'!P4:P5)</f>
        <v>35493.138620055906</v>
      </c>
      <c r="Q4" s="4">
        <f>AVERAGE('2018년'!Q4:Q5)</f>
        <v>38301.646553379418</v>
      </c>
      <c r="R4" s="4">
        <f>AVERAGE('2018년'!R4:R5)</f>
        <v>19622.082277265745</v>
      </c>
      <c r="S4" s="4">
        <f>AVERAGE('2018년'!S4:S5)</f>
        <v>40056.530733317522</v>
      </c>
      <c r="T4" s="4">
        <f>AVERAGE('2018년'!T4:T5)</f>
        <v>40015.791474654383</v>
      </c>
      <c r="U4" s="4">
        <f>AVERAGE('2018년'!U4:U5)</f>
        <v>32063.417867778833</v>
      </c>
      <c r="V4" s="4">
        <f>AVERAGE('2018년'!V4:V5)</f>
        <v>38164.674827188945</v>
      </c>
      <c r="W4" s="4">
        <f>AVERAGE('2018년'!W4:W5)</f>
        <v>0</v>
      </c>
      <c r="X4" s="4">
        <f>AVERAGE('2018년'!X4:X5)</f>
        <v>29642.901596929099</v>
      </c>
      <c r="Y4" s="4">
        <f>AVERAGE('2018년'!Y4:Y5)</f>
        <v>27626.810793708981</v>
      </c>
      <c r="Z4" s="4">
        <f>AVERAGE('2018년'!Z4:Z5)</f>
        <v>0</v>
      </c>
      <c r="AB4" s="5">
        <f>SUM(B4:Z4)</f>
        <v>700142.42679821968</v>
      </c>
    </row>
    <row r="5" spans="1:28">
      <c r="A5" t="s">
        <v>39</v>
      </c>
      <c r="B5" s="6">
        <f>AVERAGE('2018년'!B6:B8)</f>
        <v>44558.631672096126</v>
      </c>
      <c r="C5" s="6">
        <f>AVERAGE('2018년'!C6:C8)</f>
        <v>5720.2138188608778</v>
      </c>
      <c r="D5" s="6">
        <f>AVERAGE('2018년'!D6:D8)</f>
        <v>0</v>
      </c>
      <c r="E5" s="6">
        <f>AVERAGE('2018년'!E6:E8)</f>
        <v>32121.1688077861</v>
      </c>
      <c r="F5" s="6">
        <f>AVERAGE('2018년'!F6:F8)</f>
        <v>29960.98288530466</v>
      </c>
      <c r="G5" s="6">
        <f>AVERAGE('2018년'!G6:G8)</f>
        <v>63567.233865878567</v>
      </c>
      <c r="H5" s="6">
        <f>AVERAGE('2018년'!H6:H8)</f>
        <v>30068.101019581638</v>
      </c>
      <c r="I5" s="6">
        <f>AVERAGE('2018년'!I6:I8)</f>
        <v>41261.457885304662</v>
      </c>
      <c r="J5" s="6">
        <f>AVERAGE('2018년'!J6:J8)</f>
        <v>35612.486564996136</v>
      </c>
      <c r="K5" s="6">
        <f>AVERAGE('2018년'!K6:K8)</f>
        <v>23483.968637992832</v>
      </c>
      <c r="L5" s="6">
        <f>AVERAGE('2018년'!L6:L8)</f>
        <v>37727.669038940527</v>
      </c>
      <c r="M5" s="6">
        <f>AVERAGE('2018년'!M6:M8)</f>
        <v>42133.19256272402</v>
      </c>
      <c r="N5" s="6">
        <f>AVERAGE('2018년'!N6:N8)</f>
        <v>61088.222072885954</v>
      </c>
      <c r="O5" s="6">
        <f>AVERAGE('2018년'!O6:O8)</f>
        <v>31197.318485302621</v>
      </c>
      <c r="P5" s="6">
        <f>AVERAGE('2018년'!P6:P8)</f>
        <v>38600.746042808722</v>
      </c>
      <c r="Q5" s="6">
        <f>AVERAGE('2018년'!Q6:Q8)</f>
        <v>42063.855234265357</v>
      </c>
      <c r="R5" s="6">
        <f>AVERAGE('2018년'!R6:R8)</f>
        <v>23362.313560334529</v>
      </c>
      <c r="S5" s="6">
        <f>AVERAGE('2018년'!S6:S8)</f>
        <v>34057.709468133071</v>
      </c>
      <c r="T5" s="6">
        <f>AVERAGE('2018년'!T6:T8)</f>
        <v>41977.232974296036</v>
      </c>
      <c r="U5" s="6">
        <f>AVERAGE('2018년'!U6:U8)</f>
        <v>30530.010809376152</v>
      </c>
      <c r="V5" s="6">
        <f>AVERAGE('2018년'!V6:V8)</f>
        <v>35806.970890286138</v>
      </c>
      <c r="W5" s="6">
        <f>AVERAGE('2018년'!W6:W8)</f>
        <v>0</v>
      </c>
      <c r="X5" s="6">
        <f>AVERAGE('2018년'!X6:X8)</f>
        <v>23594.403304275624</v>
      </c>
      <c r="Y5" s="6">
        <f>AVERAGE('2018년'!Y6:Y8)</f>
        <v>21268.026932889876</v>
      </c>
      <c r="Z5" s="6">
        <f>AVERAGE('2018년'!Z6:Z8)</f>
        <v>0</v>
      </c>
      <c r="AB5" s="5">
        <f t="shared" ref="AB5:AB16" si="0">SUM(B5:Z5)</f>
        <v>769761.9165343201</v>
      </c>
    </row>
    <row r="6" spans="1:28">
      <c r="A6" t="s">
        <v>40</v>
      </c>
      <c r="B6" s="4">
        <f>AVERAGE('2018년'!B9:B11)</f>
        <v>44036.203312767982</v>
      </c>
      <c r="C6" s="4">
        <f>AVERAGE('2018년'!C9:C11)</f>
        <v>8104.260752688172</v>
      </c>
      <c r="D6" s="4">
        <f>AVERAGE('2018년'!D9:D11)</f>
        <v>0</v>
      </c>
      <c r="E6" s="4">
        <f>AVERAGE('2018년'!E9:E11)</f>
        <v>31456.604936849286</v>
      </c>
      <c r="F6" s="4">
        <f>AVERAGE('2018년'!F9:F11)</f>
        <v>28609.770430107528</v>
      </c>
      <c r="G6" s="4">
        <f>AVERAGE('2018년'!G9:G11)</f>
        <v>62585.177234372153</v>
      </c>
      <c r="H6" s="4">
        <f>AVERAGE('2018년'!H9:H11)</f>
        <v>28364.72713193098</v>
      </c>
      <c r="I6" s="4">
        <f>AVERAGE('2018년'!I9:I11)</f>
        <v>40275.729493087558</v>
      </c>
      <c r="J6" s="4">
        <f>AVERAGE('2018년'!J9:J11)</f>
        <v>33832.738988814592</v>
      </c>
      <c r="K6" s="4">
        <f>AVERAGE('2018년'!K9:K11)</f>
        <v>23329.648347272003</v>
      </c>
      <c r="L6" s="4">
        <f>AVERAGE('2018년'!L9:L11)</f>
        <v>38781.598566308247</v>
      </c>
      <c r="M6" s="4">
        <f>AVERAGE('2018년'!M9:M11)</f>
        <v>40456.597759856631</v>
      </c>
      <c r="N6" s="4">
        <f>AVERAGE('2018년'!N9:N11)</f>
        <v>62194.609084031428</v>
      </c>
      <c r="O6" s="4">
        <f>AVERAGE('2018년'!O9:O11)</f>
        <v>30717.961962365593</v>
      </c>
      <c r="P6" s="4">
        <f>AVERAGE('2018년'!P9:P11)</f>
        <v>37049.265601774539</v>
      </c>
      <c r="Q6" s="4">
        <f>AVERAGE('2018년'!Q9:Q11)</f>
        <v>42073.306810035836</v>
      </c>
      <c r="R6" s="4">
        <f>AVERAGE('2018년'!R9:R11)</f>
        <v>22843.845555542048</v>
      </c>
      <c r="S6" s="4">
        <f>AVERAGE('2018년'!S9:S11)</f>
        <v>34065.314209916593</v>
      </c>
      <c r="T6" s="4">
        <f>AVERAGE('2018년'!T9:T11)</f>
        <v>40109.897873750044</v>
      </c>
      <c r="U6" s="4">
        <f>AVERAGE('2018년'!U9:U11)</f>
        <v>33041.366580244823</v>
      </c>
      <c r="V6" s="4">
        <f>AVERAGE('2018년'!V9:V11)</f>
        <v>35346.743303110386</v>
      </c>
      <c r="W6" s="4">
        <f>AVERAGE('2018년'!W9:W11)</f>
        <v>0</v>
      </c>
      <c r="X6" s="4">
        <f>AVERAGE('2018년'!X9:X11)</f>
        <v>22715.602910751808</v>
      </c>
      <c r="Y6" s="4">
        <f>AVERAGE('2018년'!Y9:Y11)</f>
        <v>20781.38359908159</v>
      </c>
      <c r="Z6" s="4">
        <f>AVERAGE('2018년'!Z9:Z11)</f>
        <v>0</v>
      </c>
      <c r="AB6" s="5">
        <f t="shared" si="0"/>
        <v>760772.3544446599</v>
      </c>
    </row>
    <row r="7" spans="1:28">
      <c r="A7" t="s">
        <v>41</v>
      </c>
      <c r="B7" s="4">
        <f>AVERAGE('2018년'!B12:B14)</f>
        <v>43385.774039979195</v>
      </c>
      <c r="C7" s="4">
        <f>AVERAGE('2018년'!C12:C14)</f>
        <v>7985.4393939393949</v>
      </c>
      <c r="D7" s="4">
        <f>AVERAGE('2018년'!D12:D14)</f>
        <v>0</v>
      </c>
      <c r="E7" s="4">
        <f>AVERAGE('2018년'!E12:E14)</f>
        <v>31922.289725209081</v>
      </c>
      <c r="F7" s="4">
        <f>AVERAGE('2018년'!F12:F14)</f>
        <v>28239.097695852532</v>
      </c>
      <c r="G7" s="4">
        <f>AVERAGE('2018년'!G12:G14)</f>
        <v>63842.722491039429</v>
      </c>
      <c r="H7" s="4">
        <f>AVERAGE('2018년'!H12:H14)</f>
        <v>29054.74809694487</v>
      </c>
      <c r="I7" s="4">
        <f>AVERAGE('2018년'!I12:I14)</f>
        <v>40299.209856630827</v>
      </c>
      <c r="J7" s="4">
        <f>AVERAGE('2018년'!J12:J14)</f>
        <v>34496.596040565732</v>
      </c>
      <c r="K7" s="4">
        <f>AVERAGE('2018년'!K12:K14)</f>
        <v>22387.470138888893</v>
      </c>
      <c r="L7" s="4">
        <f>AVERAGE('2018년'!L12:L14)</f>
        <v>36892.628062886935</v>
      </c>
      <c r="M7" s="4">
        <f>AVERAGE('2018년'!M12:M14)</f>
        <v>39250.553580738262</v>
      </c>
      <c r="N7" s="4">
        <f>AVERAGE('2018년'!N12:N14)</f>
        <v>63207.724744277664</v>
      </c>
      <c r="O7" s="4">
        <f>AVERAGE('2018년'!O12:O14)</f>
        <v>30801.161210317467</v>
      </c>
      <c r="P7" s="4">
        <f>AVERAGE('2018년'!P12:P14)</f>
        <v>36978.470644251145</v>
      </c>
      <c r="Q7" s="4">
        <f>AVERAGE('2018년'!Q12:Q14)</f>
        <v>42089.826407837347</v>
      </c>
      <c r="R7" s="4">
        <f>AVERAGE('2018년'!R12:R14)</f>
        <v>22934.571459235536</v>
      </c>
      <c r="S7" s="4">
        <f>AVERAGE('2018년'!S12:S14)</f>
        <v>34627.746682579214</v>
      </c>
      <c r="T7" s="4">
        <f>AVERAGE('2018년'!T12:T14)</f>
        <v>37670.468894484868</v>
      </c>
      <c r="U7" s="4">
        <f>AVERAGE('2018년'!U12:U14)</f>
        <v>32220.728670294684</v>
      </c>
      <c r="V7" s="4">
        <f>AVERAGE('2018년'!V12:V14)</f>
        <v>35234.554390680998</v>
      </c>
      <c r="W7" s="4">
        <f>AVERAGE('2018년'!W12:W14)</f>
        <v>0</v>
      </c>
      <c r="X7" s="4">
        <f>AVERAGE('2018년'!X12:X14)</f>
        <v>22880.370527088216</v>
      </c>
      <c r="Y7" s="4">
        <f>AVERAGE('2018년'!Y12:Y14)</f>
        <v>20092.986253568011</v>
      </c>
      <c r="Z7" s="4">
        <f>AVERAGE('2018년'!Z12:Z14)</f>
        <v>0</v>
      </c>
      <c r="AB7" s="5">
        <f t="shared" si="0"/>
        <v>756495.13900729013</v>
      </c>
    </row>
    <row r="8" spans="1:28">
      <c r="A8" t="s">
        <v>43</v>
      </c>
      <c r="B8" s="4">
        <f>AVERAGE('2018년'!B15, '2019년'!B4:B5)</f>
        <v>42679.874289819258</v>
      </c>
      <c r="C8" s="4">
        <f>AVERAGE('2018년'!C15, '2019년'!C4:C5)</f>
        <v>7585.0292719423696</v>
      </c>
      <c r="D8" s="4">
        <f>AVERAGE('2018년'!D15, '2019년'!D4:D5)</f>
        <v>0</v>
      </c>
      <c r="E8" s="4">
        <f>AVERAGE('2018년'!E15, '2019년'!E4:E5)</f>
        <v>30417.334359605913</v>
      </c>
      <c r="F8" s="4">
        <f>AVERAGE('2018년'!F15, '2019년'!F4:F5)</f>
        <v>27661.702209906955</v>
      </c>
      <c r="G8" s="4">
        <f>AVERAGE('2018년'!G15, '2019년'!G4:G5)</f>
        <v>61783.639877641828</v>
      </c>
      <c r="H8" s="4">
        <f>AVERAGE('2018년'!H15, '2019년'!H4:H5)</f>
        <v>28891.388103577407</v>
      </c>
      <c r="I8" s="4">
        <f>AVERAGE('2018년'!I15, '2019년'!I4:I5)</f>
        <v>39139.276477832515</v>
      </c>
      <c r="J8" s="4">
        <f>AVERAGE('2018년'!J15, '2019년'!J4:J5)</f>
        <v>33506.149580883524</v>
      </c>
      <c r="K8" s="4">
        <f>AVERAGE('2018년'!K15, '2019년'!K4:K5)</f>
        <v>22366.409800572063</v>
      </c>
      <c r="L8" s="4">
        <f>AVERAGE('2018년'!L15, '2019년'!L4:L5)</f>
        <v>37807.04594721648</v>
      </c>
      <c r="M8" s="4">
        <f>AVERAGE('2018년'!M15, '2019년'!M4:M5)</f>
        <v>39234.701197294773</v>
      </c>
      <c r="N8" s="4">
        <f>AVERAGE('2018년'!N15, '2019년'!N4:N5)</f>
        <v>59568.980698201041</v>
      </c>
      <c r="O8" s="4">
        <f>AVERAGE('2018년'!O15, '2019년'!O4:O5)</f>
        <v>30217.200508195921</v>
      </c>
      <c r="P8" s="4">
        <f>AVERAGE('2018년'!P15, '2019년'!P4:P5)</f>
        <v>36556.209676898252</v>
      </c>
      <c r="Q8" s="4">
        <f>AVERAGE('2018년'!Q15, '2019년'!Q4:Q5)</f>
        <v>41037.740776789025</v>
      </c>
      <c r="R8" s="4">
        <f>AVERAGE('2018년'!R15, '2019년'!R4:R5)</f>
        <v>22630.325202606069</v>
      </c>
      <c r="S8" s="4">
        <f>AVERAGE('2018년'!S15, '2019년'!S4:S5)</f>
        <v>34265.810110151389</v>
      </c>
      <c r="T8" s="4">
        <f>AVERAGE('2018년'!T15, '2019년'!T4:T5)</f>
        <v>37400.957024559917</v>
      </c>
      <c r="U8" s="4">
        <f>AVERAGE('2018년'!U15, '2019년'!U4:U5)</f>
        <v>32050.854100839719</v>
      </c>
      <c r="V8" s="4">
        <f>AVERAGE('2018년'!V15, '2019년'!V4:V5)</f>
        <v>33876.732545118823</v>
      </c>
      <c r="W8" s="4">
        <f>AVERAGE('2018년'!W15, '2019년'!W4:W5)</f>
        <v>0</v>
      </c>
      <c r="X8" s="4">
        <f>AVERAGE('2018년'!X15, '2019년'!X4:X5)</f>
        <v>23657.601043244376</v>
      </c>
      <c r="Y8" s="4">
        <f>AVERAGE('2018년'!Y15, '2019년'!Y4:Y5)</f>
        <v>19896.224496671352</v>
      </c>
      <c r="Z8" s="4">
        <f>AVERAGE('2018년'!Z15, '2019년'!Z4:Z5)</f>
        <v>0</v>
      </c>
      <c r="AB8" s="5">
        <f t="shared" si="0"/>
        <v>742231.1872995689</v>
      </c>
    </row>
    <row r="9" spans="1:28">
      <c r="A9" t="s">
        <v>44</v>
      </c>
      <c r="B9" s="6">
        <f>AVERAGE('2019년'!B6:B8)</f>
        <v>44348.549907666224</v>
      </c>
      <c r="C9" s="6">
        <f>AVERAGE('2019년'!C6:C8)</f>
        <v>7684.2342293906813</v>
      </c>
      <c r="D9" s="6">
        <f>AVERAGE('2019년'!D6:D8)</f>
        <v>0</v>
      </c>
      <c r="E9" s="6">
        <f>AVERAGE('2019년'!E6:E8)</f>
        <v>32039.063985132088</v>
      </c>
      <c r="F9" s="6">
        <f>AVERAGE('2019년'!F6:F8)</f>
        <v>28191.424506215208</v>
      </c>
      <c r="G9" s="6">
        <f>AVERAGE('2019년'!G6:G8)</f>
        <v>63987.897043010751</v>
      </c>
      <c r="H9" s="6">
        <f>AVERAGE('2019년'!H6:H8)</f>
        <v>29493.803659095007</v>
      </c>
      <c r="I9" s="6">
        <f>AVERAGE('2019년'!I6:I8)</f>
        <v>40159.296057347674</v>
      </c>
      <c r="J9" s="6">
        <f>AVERAGE('2019년'!J6:J8)</f>
        <v>34270.848686931356</v>
      </c>
      <c r="K9" s="6">
        <f>AVERAGE('2019년'!K6:K8)</f>
        <v>22701.766487455199</v>
      </c>
      <c r="L9" s="6">
        <f>AVERAGE('2019년'!L6:L8)</f>
        <v>38942.589695340503</v>
      </c>
      <c r="M9" s="6">
        <f>AVERAGE('2019년'!M6:M8)</f>
        <v>40644.359139784945</v>
      </c>
      <c r="N9" s="6">
        <f>AVERAGE('2019년'!N6:N8)</f>
        <v>60326.149749103934</v>
      </c>
      <c r="O9" s="6">
        <f>AVERAGE('2019년'!O6:O8)</f>
        <v>31455.327150537632</v>
      </c>
      <c r="P9" s="6">
        <f>AVERAGE('2019년'!P6:P8)</f>
        <v>38322.658438856357</v>
      </c>
      <c r="Q9" s="6">
        <f>AVERAGE('2019년'!Q6:Q8)</f>
        <v>43572.48921246516</v>
      </c>
      <c r="R9" s="6">
        <f>AVERAGE('2019년'!R6:R8)</f>
        <v>23277.887465738982</v>
      </c>
      <c r="S9" s="6">
        <f>AVERAGE('2019년'!S6:S8)</f>
        <v>36097.921851231913</v>
      </c>
      <c r="T9" s="6">
        <f>AVERAGE('2019년'!T6:T8)</f>
        <v>39442.411423786623</v>
      </c>
      <c r="U9" s="6">
        <f>AVERAGE('2019년'!U6:U8)</f>
        <v>33613.808811230585</v>
      </c>
      <c r="V9" s="6">
        <f>AVERAGE('2019년'!V6:V8)</f>
        <v>34674.105393176804</v>
      </c>
      <c r="W9" s="6">
        <f>AVERAGE('2019년'!W6:W8)</f>
        <v>0</v>
      </c>
      <c r="X9" s="6">
        <f>AVERAGE('2019년'!X6:X8)</f>
        <v>23796.608827745225</v>
      </c>
      <c r="Y9" s="6">
        <f>AVERAGE('2019년'!Y6:Y8)</f>
        <v>20443.979940937912</v>
      </c>
      <c r="Z9" s="6">
        <f>AVERAGE('2019년'!Z6:Z8)</f>
        <v>0</v>
      </c>
      <c r="AB9" s="5">
        <f t="shared" si="0"/>
        <v>767487.18166218069</v>
      </c>
    </row>
    <row r="10" spans="1:28">
      <c r="A10" t="s">
        <v>45</v>
      </c>
      <c r="B10" s="4">
        <f>AVERAGE('2019년'!B9:B11)</f>
        <v>44308.350524153146</v>
      </c>
      <c r="C10" s="4">
        <f>AVERAGE('2019년'!C9:C11)</f>
        <v>7721.1924731182798</v>
      </c>
      <c r="D10" s="4">
        <f>AVERAGE('2019년'!D9:D11)</f>
        <v>0</v>
      </c>
      <c r="E10" s="4">
        <f>AVERAGE('2019년'!E9:E11)</f>
        <v>31341.768017950719</v>
      </c>
      <c r="F10" s="4">
        <f>AVERAGE('2019년'!F9:F11)</f>
        <v>28548.789784946235</v>
      </c>
      <c r="G10" s="4">
        <f>AVERAGE('2019년'!G9:G11)</f>
        <v>62555.543189964163</v>
      </c>
      <c r="H10" s="4">
        <f>AVERAGE('2019년'!H9:H11)</f>
        <v>29213.191301034069</v>
      </c>
      <c r="I10" s="4">
        <f>AVERAGE('2019년'!I9:I11)</f>
        <v>40038.377413175134</v>
      </c>
      <c r="J10" s="4">
        <f>AVERAGE('2019년'!J9:J11)</f>
        <v>33535.555985913663</v>
      </c>
      <c r="K10" s="4">
        <f>AVERAGE('2019년'!K9:K11)</f>
        <v>22737.655017921148</v>
      </c>
      <c r="L10" s="4">
        <f>AVERAGE('2019년'!L9:L11)</f>
        <v>38385.027688172042</v>
      </c>
      <c r="M10" s="4">
        <f>AVERAGE('2019년'!M9:M11)</f>
        <v>40652.651784769958</v>
      </c>
      <c r="N10" s="4">
        <f>AVERAGE('2019년'!N9:N11)</f>
        <v>59348.255494896184</v>
      </c>
      <c r="O10" s="4">
        <f>AVERAGE('2019년'!O9:O11)</f>
        <v>30966.441353046594</v>
      </c>
      <c r="P10" s="4">
        <f>AVERAGE('2019년'!P9:P11)</f>
        <v>37464.931238316334</v>
      </c>
      <c r="Q10" s="4">
        <f>AVERAGE('2019년'!Q9:Q11)</f>
        <v>42374.027117877013</v>
      </c>
      <c r="R10" s="4">
        <f>AVERAGE('2019년'!R9:R11)</f>
        <v>23204.242412767559</v>
      </c>
      <c r="S10" s="4">
        <f>AVERAGE('2019년'!S9:S11)</f>
        <v>34993.669129715046</v>
      </c>
      <c r="T10" s="4">
        <f>AVERAGE('2019년'!T9:T11)</f>
        <v>38132.781790123459</v>
      </c>
      <c r="U10" s="4">
        <f>AVERAGE('2019년'!U9:U11)</f>
        <v>32813.111714391242</v>
      </c>
      <c r="V10" s="4">
        <f>AVERAGE('2019년'!V9:V11)</f>
        <v>33327.41239700836</v>
      </c>
      <c r="W10" s="4">
        <f>AVERAGE('2019년'!W9:W11)</f>
        <v>0</v>
      </c>
      <c r="X10" s="4">
        <f>AVERAGE('2019년'!X9:X11)</f>
        <v>23462.691564751487</v>
      </c>
      <c r="Y10" s="4">
        <f>AVERAGE('2019년'!Y9:Y11)</f>
        <v>19887.428408237949</v>
      </c>
      <c r="Z10" s="4">
        <f>AVERAGE('2019년'!Z9:Z11)</f>
        <v>0</v>
      </c>
      <c r="AB10" s="5">
        <f t="shared" si="0"/>
        <v>755013.09580224997</v>
      </c>
    </row>
    <row r="11" spans="1:28">
      <c r="A11" t="s">
        <v>46</v>
      </c>
      <c r="B11" s="4">
        <f>AVERAGE('2019년'!B12:B14)</f>
        <v>44335.136905521758</v>
      </c>
      <c r="C11" s="4">
        <f>AVERAGE('2019년'!C12:C14)</f>
        <v>7831.7589301986518</v>
      </c>
      <c r="D11" s="4">
        <f>AVERAGE('2019년'!D12:D14)</f>
        <v>0</v>
      </c>
      <c r="E11" s="4">
        <f>AVERAGE('2019년'!E12:E14)</f>
        <v>32053.985552573304</v>
      </c>
      <c r="F11" s="4">
        <f>AVERAGE('2019년'!F12:F14)</f>
        <v>28201.617374698864</v>
      </c>
      <c r="G11" s="4">
        <f>AVERAGE('2019년'!G12:G14)</f>
        <v>62964.005501204541</v>
      </c>
      <c r="H11" s="4">
        <f>AVERAGE('2019년'!H12:H14)</f>
        <v>29127.307706093194</v>
      </c>
      <c r="I11" s="4">
        <f>AVERAGE('2019년'!I12:I14)</f>
        <v>39908.206272401432</v>
      </c>
      <c r="J11" s="4">
        <f>AVERAGE('2019년'!J12:J14)</f>
        <v>33636.786066308247</v>
      </c>
      <c r="K11" s="4">
        <f>AVERAGE('2019년'!K12:K14)</f>
        <v>22726.325985663079</v>
      </c>
      <c r="L11" s="4">
        <f>AVERAGE('2019년'!L12:L14)</f>
        <v>37056.730017921152</v>
      </c>
      <c r="M11" s="4">
        <f>AVERAGE('2019년'!M12:M14)</f>
        <v>40169.800537634408</v>
      </c>
      <c r="N11" s="4">
        <f>AVERAGE('2019년'!N12:N14)</f>
        <v>63111.273371076444</v>
      </c>
      <c r="O11" s="4">
        <f>AVERAGE('2019년'!O12:O14)</f>
        <v>31123.179838709679</v>
      </c>
      <c r="P11" s="4">
        <f>AVERAGE('2019년'!P12:P14)</f>
        <v>37195.599455458861</v>
      </c>
      <c r="Q11" s="4">
        <f>AVERAGE('2019년'!Q12:Q14)</f>
        <v>40790.056457028637</v>
      </c>
      <c r="R11" s="4">
        <f>AVERAGE('2019년'!R12:R14)</f>
        <v>23148.917323775389</v>
      </c>
      <c r="S11" s="4">
        <f>AVERAGE('2019년'!S12:S14)</f>
        <v>35445.636765648545</v>
      </c>
      <c r="T11" s="4">
        <f>AVERAGE('2019년'!T12:T14)</f>
        <v>38158.647972696366</v>
      </c>
      <c r="U11" s="4">
        <f>AVERAGE('2019년'!U12:U14)</f>
        <v>33168.24672379961</v>
      </c>
      <c r="V11" s="4">
        <f>AVERAGE('2019년'!V12:V14)</f>
        <v>34661.762189081666</v>
      </c>
      <c r="W11" s="4">
        <f>AVERAGE('2019년'!W12:W14)</f>
        <v>0</v>
      </c>
      <c r="X11" s="4">
        <f>AVERAGE('2019년'!X12:X14)</f>
        <v>23966.994858037022</v>
      </c>
      <c r="Y11" s="4">
        <f>AVERAGE('2019년'!Y12:Y14)</f>
        <v>20349.308097215155</v>
      </c>
      <c r="Z11" s="4">
        <f>AVERAGE('2019년'!Z12:Z14)</f>
        <v>0</v>
      </c>
      <c r="AB11" s="5">
        <f t="shared" si="0"/>
        <v>759131.28390274581</v>
      </c>
    </row>
    <row r="12" spans="1:28">
      <c r="A12" t="s">
        <v>47</v>
      </c>
      <c r="B12" s="4">
        <f>AVERAGE('2019년'!B15, '2020년'!B4:B5)</f>
        <v>41850.819773293078</v>
      </c>
      <c r="C12" s="4">
        <f>AVERAGE('2019년'!C15, '2020년'!C4:C5)</f>
        <v>7391.8305524657017</v>
      </c>
      <c r="D12" s="4">
        <f>AVERAGE('2019년'!D15, '2020년'!D4:D5)</f>
        <v>0</v>
      </c>
      <c r="E12" s="4">
        <f>AVERAGE('2019년'!E15, '2020년'!E4:E5)</f>
        <v>29857.224938927688</v>
      </c>
      <c r="F12" s="4">
        <f>AVERAGE('2019년'!F15, '2020년'!F4:F5)</f>
        <v>27330.896737115312</v>
      </c>
      <c r="G12" s="4">
        <f>AVERAGE('2019년'!G15, '2020년'!G4:G5)</f>
        <v>60311.936318131258</v>
      </c>
      <c r="H12" s="4">
        <f>AVERAGE('2019년'!H15, '2020년'!H4:H5)</f>
        <v>28035.31671576016</v>
      </c>
      <c r="I12" s="4">
        <f>AVERAGE('2019년'!I15, '2020년'!I4:I5)</f>
        <v>37431.95006595063</v>
      </c>
      <c r="J12" s="4">
        <f>AVERAGE('2019년'!J15, '2020년'!J4:J5)</f>
        <v>32726.152947719685</v>
      </c>
      <c r="K12" s="4">
        <f>AVERAGE('2019년'!K15, '2020년'!K4:K5)</f>
        <v>22091.174453096031</v>
      </c>
      <c r="L12" s="4">
        <f>AVERAGE('2019년'!L15, '2020년'!L4:L5)</f>
        <v>35621.942387838339</v>
      </c>
      <c r="M12" s="4">
        <f>AVERAGE('2019년'!M15, '2020년'!M4:M5)</f>
        <v>38479.409436410824</v>
      </c>
      <c r="N12" s="4">
        <f>AVERAGE('2019년'!N15, '2020년'!N4:N5)</f>
        <v>56623.084149344017</v>
      </c>
      <c r="O12" s="4">
        <f>AVERAGE('2019년'!O15, '2020년'!O4:O5)</f>
        <v>29641.429211469531</v>
      </c>
      <c r="P12" s="4">
        <f>AVERAGE('2019년'!P15, '2020년'!P4:P5)</f>
        <v>35826.522951427505</v>
      </c>
      <c r="Q12" s="4">
        <f>AVERAGE('2019년'!Q15, '2020년'!Q4:Q5)</f>
        <v>39737.986049314051</v>
      </c>
      <c r="R12" s="4">
        <f>AVERAGE('2019년'!R15, '2020년'!R4:R5)</f>
        <v>22197.628753210014</v>
      </c>
      <c r="S12" s="4">
        <f>AVERAGE('2019년'!S15, '2020년'!S4:S5)</f>
        <v>33554.914983726776</v>
      </c>
      <c r="T12" s="4">
        <f>AVERAGE('2019년'!T15, '2020년'!T4:T5)</f>
        <v>36197.159852468983</v>
      </c>
      <c r="U12" s="4">
        <f>AVERAGE('2019년'!U15, '2020년'!U4:U5)</f>
        <v>30933.08390420787</v>
      </c>
      <c r="V12" s="4">
        <f>AVERAGE('2019년'!V15, '2020년'!V4:V5)</f>
        <v>32439.627967391356</v>
      </c>
      <c r="W12" s="4">
        <f>AVERAGE('2019년'!W15, '2020년'!W4:W5)</f>
        <v>0</v>
      </c>
      <c r="X12" s="4">
        <f>AVERAGE('2019년'!X15, '2020년'!X4:X5)</f>
        <v>22915.860102233539</v>
      </c>
      <c r="Y12" s="4">
        <f>AVERAGE('2019년'!Y15, '2020년'!Y4:Y5)</f>
        <v>18485.131611752451</v>
      </c>
      <c r="Z12" s="4">
        <f>AVERAGE('2019년'!Z15, '2020년'!Z4:Z5)</f>
        <v>0</v>
      </c>
      <c r="AB12" s="5">
        <f t="shared" si="0"/>
        <v>719681.08386325499</v>
      </c>
    </row>
    <row r="13" spans="1:28">
      <c r="A13" t="s">
        <v>48</v>
      </c>
      <c r="B13" s="4">
        <f>AVERAGE('2020년'!B6:B8)</f>
        <v>39456.206360538221</v>
      </c>
      <c r="C13" s="4">
        <f>AVERAGE('2020년'!C6:C8)</f>
        <v>8118.2048387096766</v>
      </c>
      <c r="D13" s="4">
        <f>AVERAGE('2020년'!D6:D8)</f>
        <v>0</v>
      </c>
      <c r="E13" s="4">
        <f>AVERAGE('2020년'!E6:E8)</f>
        <v>29573.462038066984</v>
      </c>
      <c r="F13" s="4">
        <f>AVERAGE('2020년'!F6:F8)</f>
        <v>26808.433064516128</v>
      </c>
      <c r="G13" s="4">
        <f>AVERAGE('2020년'!G6:G8)</f>
        <v>59575.173745519714</v>
      </c>
      <c r="H13" s="4">
        <f>AVERAGE('2020년'!H6:H8)</f>
        <v>27031.623855037829</v>
      </c>
      <c r="I13" s="4">
        <f>AVERAGE('2020년'!I6:I8)</f>
        <v>36500.932258064517</v>
      </c>
      <c r="J13" s="4">
        <f>AVERAGE('2020년'!J6:J8)</f>
        <v>32220.399641577056</v>
      </c>
      <c r="K13" s="4">
        <f>AVERAGE('2020년'!K6:K8)</f>
        <v>21434.286917562724</v>
      </c>
      <c r="L13" s="4">
        <f>AVERAGE('2020년'!L6:L8)</f>
        <v>35052.546236559145</v>
      </c>
      <c r="M13" s="4">
        <f>AVERAGE('2020년'!M6:M8)</f>
        <v>37452.172401433694</v>
      </c>
      <c r="N13" s="4">
        <f>AVERAGE('2020년'!N6:N8)</f>
        <v>54670.617563748085</v>
      </c>
      <c r="O13" s="4">
        <f>AVERAGE('2020년'!O6:O8)</f>
        <v>28031.137649342894</v>
      </c>
      <c r="P13" s="4">
        <f>AVERAGE('2020년'!P6:P8)</f>
        <v>34573.974270847619</v>
      </c>
      <c r="Q13" s="4">
        <f>AVERAGE('2020년'!Q6:Q8)</f>
        <v>39015.730913978499</v>
      </c>
      <c r="R13" s="4">
        <f>AVERAGE('2020년'!R6:R8)</f>
        <v>22134.418965852572</v>
      </c>
      <c r="S13" s="4">
        <f>AVERAGE('2020년'!S6:S8)</f>
        <v>31562.714790460435</v>
      </c>
      <c r="T13" s="4">
        <f>AVERAGE('2020년'!T6:T8)</f>
        <v>35069.239660576313</v>
      </c>
      <c r="U13" s="4">
        <f>AVERAGE('2020년'!U6:U8)</f>
        <v>29889.421087469378</v>
      </c>
      <c r="V13" s="4">
        <f>AVERAGE('2020년'!V6:V8)</f>
        <v>30758.387545771722</v>
      </c>
      <c r="W13" s="4">
        <f>AVERAGE('2020년'!W6:W8)</f>
        <v>0</v>
      </c>
      <c r="X13" s="4">
        <f>AVERAGE('2020년'!X6:X8)</f>
        <v>21405.703521403102</v>
      </c>
      <c r="Y13" s="4">
        <f>AVERAGE('2020년'!Y6:Y8)</f>
        <v>16896.206233530851</v>
      </c>
      <c r="Z13" s="4">
        <f>AVERAGE('2020년'!Z6:Z8)</f>
        <v>0</v>
      </c>
      <c r="AB13" s="5">
        <f t="shared" si="0"/>
        <v>697230.99356056727</v>
      </c>
    </row>
    <row r="14" spans="1:28">
      <c r="A14" t="s">
        <v>49</v>
      </c>
      <c r="B14" s="4">
        <f>AVERAGE('2020년'!B9:B11)</f>
        <v>40596.562702478266</v>
      </c>
      <c r="C14" s="4">
        <f>AVERAGE('2020년'!C9:C11)</f>
        <v>8536.1016129032269</v>
      </c>
      <c r="D14" s="4">
        <f>AVERAGE('2020년'!D9:D11)</f>
        <v>0</v>
      </c>
      <c r="E14" s="4">
        <f>AVERAGE('2020년'!E9:E11)</f>
        <v>30274.200092695584</v>
      </c>
      <c r="F14" s="4">
        <f>AVERAGE('2020년'!F9:F11)</f>
        <v>27092.122542242705</v>
      </c>
      <c r="G14" s="4">
        <f>AVERAGE('2020년'!G9:G11)</f>
        <v>60524.485483870965</v>
      </c>
      <c r="H14" s="4">
        <f>AVERAGE('2020년'!H9:H11)</f>
        <v>27273.129390681002</v>
      </c>
      <c r="I14" s="4">
        <f>AVERAGE('2020년'!I9:I11)</f>
        <v>24423.316666666666</v>
      </c>
      <c r="J14" s="4">
        <f>AVERAGE('2020년'!J9:J11)</f>
        <v>32134.786379928311</v>
      </c>
      <c r="K14" s="4">
        <f>AVERAGE('2020년'!K9:K11)</f>
        <v>21939.152329749104</v>
      </c>
      <c r="L14" s="4">
        <f>AVERAGE('2020년'!L9:L11)</f>
        <v>36047.117966617188</v>
      </c>
      <c r="M14" s="4">
        <f>AVERAGE('2020년'!M9:M11)</f>
        <v>38117.825716845873</v>
      </c>
      <c r="N14" s="4">
        <f>AVERAGE('2020년'!N9:N11)</f>
        <v>55494.079554753414</v>
      </c>
      <c r="O14" s="4">
        <f>AVERAGE('2020년'!O9:O11)</f>
        <v>29245.068364651201</v>
      </c>
      <c r="P14" s="4">
        <f>AVERAGE('2020년'!P9:P11)</f>
        <v>35706.954859190992</v>
      </c>
      <c r="Q14" s="4">
        <f>AVERAGE('2020년'!Q9:Q11)</f>
        <v>39684.351657706102</v>
      </c>
      <c r="R14" s="4">
        <f>AVERAGE('2020년'!R9:R11)</f>
        <v>22419.497849462365</v>
      </c>
      <c r="S14" s="4">
        <f>AVERAGE('2020년'!S9:S11)</f>
        <v>32694.609526897868</v>
      </c>
      <c r="T14" s="4">
        <f>AVERAGE('2020년'!T9:T11)</f>
        <v>36832.831572010771</v>
      </c>
      <c r="U14" s="4">
        <f>AVERAGE('2020년'!U9:U11)</f>
        <v>29348.055477804901</v>
      </c>
      <c r="V14" s="4">
        <f>AVERAGE('2020년'!V9:V11)</f>
        <v>32473.619088656968</v>
      </c>
      <c r="W14" s="4">
        <f>AVERAGE('2020년'!W9:W11)</f>
        <v>0</v>
      </c>
      <c r="X14" s="4">
        <f>AVERAGE('2020년'!X9:X11)</f>
        <v>21981.560018903911</v>
      </c>
      <c r="Y14" s="4">
        <f>AVERAGE('2020년'!Y9:Y11)</f>
        <v>17639.772429004686</v>
      </c>
      <c r="Z14" s="4">
        <f>AVERAGE('2020년'!Z9:Z11)</f>
        <v>0</v>
      </c>
      <c r="AB14" s="5">
        <f t="shared" si="0"/>
        <v>700479.20128372195</v>
      </c>
    </row>
    <row r="15" spans="1:28">
      <c r="A15" t="s">
        <v>50</v>
      </c>
      <c r="B15" s="4">
        <f>AVERAGE('2020년'!B12:B14)</f>
        <v>39570.914747377377</v>
      </c>
      <c r="C15" s="4">
        <f>AVERAGE('2020년'!C12:C14)</f>
        <v>8132.8930107526876</v>
      </c>
      <c r="D15" s="4">
        <f>AVERAGE('2020년'!D12:D14)</f>
        <v>0</v>
      </c>
      <c r="E15" s="4">
        <f>AVERAGE('2020년'!E12:E14)</f>
        <v>31005.357857213457</v>
      </c>
      <c r="F15" s="4">
        <f>AVERAGE('2020년'!F12:F14)</f>
        <v>26796.210573476699</v>
      </c>
      <c r="G15" s="4">
        <f>AVERAGE('2020년'!G12:G14)</f>
        <v>60311.630555555552</v>
      </c>
      <c r="H15" s="4">
        <f>AVERAGE('2020년'!H12:H14)</f>
        <v>27252.328100509021</v>
      </c>
      <c r="I15" s="4">
        <f>AVERAGE('2020년'!I12:I14)</f>
        <v>0</v>
      </c>
      <c r="J15" s="4">
        <f>AVERAGE('2020년'!J12:J14)</f>
        <v>32084.205017921147</v>
      </c>
      <c r="K15" s="4">
        <f>AVERAGE('2020년'!K12:K14)</f>
        <v>21656.581362007168</v>
      </c>
      <c r="L15" s="4">
        <f>AVERAGE('2020년'!L12:L14)</f>
        <v>35670.543100358424</v>
      </c>
      <c r="M15" s="4">
        <f>AVERAGE('2020년'!M12:M14)</f>
        <v>37391.988082437281</v>
      </c>
      <c r="N15" s="4">
        <f>AVERAGE('2020년'!N12:N14)</f>
        <v>55422.884891820118</v>
      </c>
      <c r="O15" s="4">
        <f>AVERAGE('2020년'!O12:O14)</f>
        <v>27651.987293729908</v>
      </c>
      <c r="P15" s="4">
        <f>AVERAGE('2020년'!P12:P14)</f>
        <v>34798.895426523297</v>
      </c>
      <c r="Q15" s="4">
        <f>AVERAGE('2020년'!Q12:Q14)</f>
        <v>39382.281810035842</v>
      </c>
      <c r="R15" s="4">
        <f>AVERAGE('2020년'!R12:R14)</f>
        <v>21910.75247872922</v>
      </c>
      <c r="S15" s="4">
        <f>AVERAGE('2020년'!S12:S14)</f>
        <v>34094.339272131845</v>
      </c>
      <c r="T15" s="4">
        <f>AVERAGE('2020년'!T12:T14)</f>
        <v>38208.400169834851</v>
      </c>
      <c r="U15" s="4">
        <f>AVERAGE('2020년'!U12:U14)</f>
        <v>28775.755606174935</v>
      </c>
      <c r="V15" s="4">
        <f>AVERAGE('2020년'!V12:V14)</f>
        <v>32895.763854042212</v>
      </c>
      <c r="W15" s="4">
        <f>AVERAGE('2020년'!W12:W14)</f>
        <v>0</v>
      </c>
      <c r="X15" s="4">
        <f>AVERAGE('2020년'!X12:X14)</f>
        <v>22669.629741066004</v>
      </c>
      <c r="Y15" s="4">
        <f>AVERAGE('2020년'!Y12:Y14)</f>
        <v>15945.717404238763</v>
      </c>
      <c r="Z15" s="4">
        <f>AVERAGE('2020년'!Z12:Z14)</f>
        <v>0</v>
      </c>
      <c r="AB15" s="5">
        <f t="shared" si="0"/>
        <v>671629.06035593571</v>
      </c>
    </row>
    <row r="16" spans="1:28">
      <c r="A16" t="s">
        <v>76</v>
      </c>
      <c r="B16" s="2">
        <f>AVERAGE('2020년'!B15)</f>
        <v>36156.770358339003</v>
      </c>
      <c r="C16" s="2">
        <f>AVERAGE('2020년'!C15)</f>
        <v>7535.0645161290322</v>
      </c>
      <c r="D16" s="2">
        <f>AVERAGE('2020년'!D15)</f>
        <v>0</v>
      </c>
      <c r="E16" s="2">
        <f>AVERAGE('2020년'!E15)</f>
        <v>28038.232883490778</v>
      </c>
      <c r="F16" s="2">
        <f>AVERAGE('2020년'!F15)</f>
        <v>24912.790322580648</v>
      </c>
      <c r="G16" s="2">
        <f>AVERAGE('2020년'!G15)</f>
        <v>55489.758064516129</v>
      </c>
      <c r="H16" s="2">
        <f>AVERAGE('2020년'!H15)</f>
        <v>25452.579877112134</v>
      </c>
      <c r="I16" s="2">
        <f>AVERAGE('2020년'!I15)</f>
        <v>0</v>
      </c>
      <c r="J16" s="2">
        <f>AVERAGE('2020년'!J15)</f>
        <v>29708.688966275658</v>
      </c>
      <c r="K16" s="2">
        <f>AVERAGE('2020년'!K15)</f>
        <v>20358.822580645163</v>
      </c>
      <c r="L16" s="2">
        <f>AVERAGE('2020년'!L15)</f>
        <v>33087.024193548386</v>
      </c>
      <c r="M16" s="2">
        <f>AVERAGE('2020년'!M15)</f>
        <v>34271.137096774197</v>
      </c>
      <c r="N16" s="2">
        <f>AVERAGE('2020년'!N15)</f>
        <v>51395.383870967744</v>
      </c>
      <c r="O16" s="2">
        <f>AVERAGE('2020년'!O15)</f>
        <v>26723.767082111433</v>
      </c>
      <c r="P16" s="2">
        <f>AVERAGE('2020년'!P15)</f>
        <v>31648.783695014659</v>
      </c>
      <c r="Q16" s="2">
        <f>AVERAGE('2020년'!Q15)</f>
        <v>36329.975806451614</v>
      </c>
      <c r="R16" s="2">
        <f>AVERAGE('2020년'!R15)</f>
        <v>20639.979006656427</v>
      </c>
      <c r="S16" s="2">
        <f>AVERAGE('2020년'!S15)</f>
        <v>34241.282258064515</v>
      </c>
      <c r="T16" s="2">
        <f>AVERAGE('2020년'!T15)</f>
        <v>35052.989247311831</v>
      </c>
      <c r="U16" s="2">
        <f>AVERAGE('2020년'!U15)</f>
        <v>27895.09946236559</v>
      </c>
      <c r="V16" s="2">
        <f>AVERAGE('2020년'!V15)</f>
        <v>30145.129032258061</v>
      </c>
      <c r="W16" s="2">
        <f>AVERAGE('2020년'!W15)</f>
        <v>0</v>
      </c>
      <c r="X16" s="2">
        <f>AVERAGE('2020년'!X15)</f>
        <v>21526.417410714286</v>
      </c>
      <c r="Y16" s="2">
        <f>AVERAGE('2020년'!Y15)</f>
        <v>14316.263797346352</v>
      </c>
      <c r="Z16" s="2">
        <f>AVERAGE('2020년'!Z15)</f>
        <v>0</v>
      </c>
      <c r="AB16" s="5">
        <f t="shared" si="0"/>
        <v>624925.93952867377</v>
      </c>
    </row>
    <row r="17" spans="2:28">
      <c r="B17" s="2"/>
    </row>
    <row r="18" spans="2:28">
      <c r="B18" s="2"/>
    </row>
    <row r="19" spans="2:28">
      <c r="B19" s="4">
        <f>[1]season!B4-B4</f>
        <v>-14709.712480037644</v>
      </c>
      <c r="C19" s="4">
        <f>[1]season!C4-C4</f>
        <v>-9203.8064516129034</v>
      </c>
      <c r="D19" s="4">
        <f>[1]season!D4-D4</f>
        <v>1947.5</v>
      </c>
      <c r="E19" s="4">
        <f>[1]season!E4-E4</f>
        <v>-22110.534466205841</v>
      </c>
      <c r="F19" s="4">
        <f>[1]season!F4-F4</f>
        <v>-25162.805587557603</v>
      </c>
      <c r="G19" s="4">
        <f>[1]season!G4-G4</f>
        <v>-39142.877592165896</v>
      </c>
      <c r="H19" s="4">
        <f>[1]season!H4-H4</f>
        <v>-20469.297708002821</v>
      </c>
      <c r="I19" s="4">
        <f>[1]season!I4-I4</f>
        <v>-34386.482142857145</v>
      </c>
      <c r="J19" s="4">
        <f>[1]season!J4-J4</f>
        <v>-26821.304313556073</v>
      </c>
      <c r="K19" s="4">
        <f>[1]season!K4-K4</f>
        <v>-16463.860833333332</v>
      </c>
      <c r="L19" s="4">
        <f>[1]season!L4-L4</f>
        <v>-21886.689758815868</v>
      </c>
      <c r="M19" s="4">
        <f>[1]season!M4-M4</f>
        <v>-44299.399015323143</v>
      </c>
      <c r="N19" s="4">
        <f>[1]season!N4-N4</f>
        <v>-28890.951133236063</v>
      </c>
      <c r="O19" s="4">
        <f>[1]season!O4-O4</f>
        <v>-21187.710571236559</v>
      </c>
      <c r="P19" s="4">
        <f>[1]season!P4-P4</f>
        <v>-28520.638620055906</v>
      </c>
      <c r="Q19" s="4">
        <f>[1]season!Q4-Q4</f>
        <v>-27613.146553379418</v>
      </c>
      <c r="R19" s="4">
        <f>[1]season!R4-R4</f>
        <v>-15613.582277265745</v>
      </c>
      <c r="S19" s="4">
        <f>[1]season!S4-S4</f>
        <v>-32847.530733317522</v>
      </c>
      <c r="T19" s="4">
        <f>[1]season!T4-T4</f>
        <v>-37695.791474654383</v>
      </c>
      <c r="U19" s="4">
        <f>[1]season!U4-U4</f>
        <v>-15484.917867778833</v>
      </c>
      <c r="V19" s="4">
        <f>[1]season!V4-V4</f>
        <v>-34972.174827188945</v>
      </c>
      <c r="W19" s="4">
        <f>[1]season!W4-W4</f>
        <v>4642</v>
      </c>
      <c r="X19" s="4">
        <f>[1]season!X4-X4</f>
        <v>-14478.901596929099</v>
      </c>
      <c r="Y19" s="4">
        <f>[1]season!Y4-Y4</f>
        <v>-20943.810793708981</v>
      </c>
      <c r="Z19" s="4">
        <f>[1]season!Z4-Z4</f>
        <v>3071.5</v>
      </c>
      <c r="AA19" s="4">
        <f>[1]season!AA4-AA4</f>
        <v>0</v>
      </c>
      <c r="AB19" s="4">
        <f>[1]season!AB4-AB4</f>
        <v>-543244.92679821968</v>
      </c>
    </row>
    <row r="20" spans="2:28">
      <c r="B20" s="4">
        <f>[1]season!B5-B5</f>
        <v>-19353.298338762794</v>
      </c>
      <c r="C20" s="4">
        <f>[1]season!C5-C5</f>
        <v>12486.786181139123</v>
      </c>
      <c r="D20" s="4">
        <f>[1]season!D5-D5</f>
        <v>10270.666666666666</v>
      </c>
      <c r="E20" s="4">
        <f>[1]season!E5-E5</f>
        <v>-12735.1688077861</v>
      </c>
      <c r="F20" s="4">
        <f>[1]season!F5-F5</f>
        <v>-8890.649551971328</v>
      </c>
      <c r="G20" s="4">
        <f>[1]season!G5-G5</f>
        <v>-21856.900532545231</v>
      </c>
      <c r="H20" s="4">
        <f>[1]season!H5-H5</f>
        <v>-10135.767686248306</v>
      </c>
      <c r="I20" s="4">
        <f>[1]season!I5-I5</f>
        <v>-33312.124551971327</v>
      </c>
      <c r="J20" s="4">
        <f>[1]season!J5-J5</f>
        <v>-11667.819898329468</v>
      </c>
      <c r="K20" s="4">
        <f>[1]season!K5-K5</f>
        <v>-17226.301971326164</v>
      </c>
      <c r="L20" s="4">
        <f>[1]season!L5-L5</f>
        <v>-13950.669038940527</v>
      </c>
      <c r="M20" s="4">
        <f>[1]season!M5-M5</f>
        <v>-24776.19256272402</v>
      </c>
      <c r="N20" s="4">
        <f>[1]season!N5-N5</f>
        <v>5586.1112604473747</v>
      </c>
      <c r="O20" s="4">
        <f>[1]season!O5-O5</f>
        <v>-5223.9851519692893</v>
      </c>
      <c r="P20" s="4">
        <f>[1]season!P5-P5</f>
        <v>-10026.412709475389</v>
      </c>
      <c r="Q20" s="4">
        <f>[1]season!Q5-Q5</f>
        <v>-2246.5219009320208</v>
      </c>
      <c r="R20" s="4">
        <f>[1]season!R5-R5</f>
        <v>-3733.9802270011969</v>
      </c>
      <c r="S20" s="4">
        <f>[1]season!S5-S5</f>
        <v>7555.6238652002648</v>
      </c>
      <c r="T20" s="4">
        <f>[1]season!T5-T5</f>
        <v>-27554.566307629371</v>
      </c>
      <c r="U20" s="4">
        <f>[1]season!U5-U5</f>
        <v>33319.655857290512</v>
      </c>
      <c r="V20" s="4">
        <f>[1]season!V5-V5</f>
        <v>-19911.970890286138</v>
      </c>
      <c r="W20" s="4">
        <f>[1]season!W5-W5</f>
        <v>19168.666666666668</v>
      </c>
      <c r="X20" s="4">
        <f>[1]season!X5-X5</f>
        <v>16936.263362391041</v>
      </c>
      <c r="Y20" s="4">
        <f>[1]season!Y5-Y5</f>
        <v>-2944.0269328898758</v>
      </c>
      <c r="Z20" s="4">
        <f>[1]season!Z5-Z5</f>
        <v>16226.333333333334</v>
      </c>
      <c r="AA20" s="4">
        <f>[1]season!AA5-AA5</f>
        <v>0</v>
      </c>
      <c r="AB20" s="4">
        <f>[1]season!AB5-AB5</f>
        <v>-123996.24986765359</v>
      </c>
    </row>
    <row r="21" spans="2:28">
      <c r="B21" s="4">
        <f>[1]season!B6-B6</f>
        <v>1726.4633538986818</v>
      </c>
      <c r="C21" s="4">
        <f>[1]season!C6-C6</f>
        <v>28811.072580645163</v>
      </c>
      <c r="D21" s="4">
        <f>[1]season!D6-D6</f>
        <v>19013</v>
      </c>
      <c r="E21" s="4">
        <f>[1]season!E6-E6</f>
        <v>12063.72839648405</v>
      </c>
      <c r="F21" s="4">
        <f>[1]season!F6-F6</f>
        <v>12115.229569892472</v>
      </c>
      <c r="G21" s="4">
        <f>[1]season!G6-G6</f>
        <v>3194.4894322945183</v>
      </c>
      <c r="H21" s="4">
        <f>[1]season!H6-H6</f>
        <v>9412.939534735684</v>
      </c>
      <c r="I21" s="4">
        <f>[1]season!I6-I6</f>
        <v>-25671.062826420894</v>
      </c>
      <c r="J21" s="4">
        <f>[1]season!J6-J6</f>
        <v>11387.261011185408</v>
      </c>
      <c r="K21" s="4">
        <f>[1]season!K6-K6</f>
        <v>-11373.981680605337</v>
      </c>
      <c r="L21" s="4">
        <f>[1]season!L6-L6</f>
        <v>-1511.9318996415823</v>
      </c>
      <c r="M21" s="4">
        <f>[1]season!M6-M6</f>
        <v>-9639.9310931899636</v>
      </c>
      <c r="N21" s="4">
        <f>[1]season!N6-N6</f>
        <v>34832.057582635243</v>
      </c>
      <c r="O21" s="4">
        <f>[1]season!O6-O6</f>
        <v>8145.3713709677431</v>
      </c>
      <c r="P21" s="4">
        <f>[1]season!P6-P6</f>
        <v>10488.734398225461</v>
      </c>
      <c r="Q21" s="4">
        <f>[1]season!Q6-Q6</f>
        <v>15013.693189964164</v>
      </c>
      <c r="R21" s="4">
        <f>[1]season!R6-R6</f>
        <v>10556.154444457952</v>
      </c>
      <c r="S21" s="4">
        <f>[1]season!S6-S6</f>
        <v>40376.019123416736</v>
      </c>
      <c r="T21" s="4">
        <f>[1]season!T6-T6</f>
        <v>-12431.897873750044</v>
      </c>
      <c r="U21" s="4">
        <f>[1]season!U6-U6</f>
        <v>62172.966753088505</v>
      </c>
      <c r="V21" s="4">
        <f>[1]season!V6-V6</f>
        <v>-9862.0766364437186</v>
      </c>
      <c r="W21" s="4">
        <f>[1]season!W6-W6</f>
        <v>30854.666666666668</v>
      </c>
      <c r="X21" s="4">
        <f>[1]season!X6-X6</f>
        <v>35249.06375591486</v>
      </c>
      <c r="Y21" s="4">
        <f>[1]season!Y6-Y6</f>
        <v>5378.2830675850782</v>
      </c>
      <c r="Z21" s="4">
        <f>[1]season!Z6-Z6</f>
        <v>28886.666666666668</v>
      </c>
      <c r="AA21" s="4">
        <f>[1]season!AA6-AA6</f>
        <v>0</v>
      </c>
      <c r="AB21" s="4">
        <f>[1]season!AB6-AB6</f>
        <v>309186.97888867359</v>
      </c>
    </row>
    <row r="22" spans="2:28">
      <c r="B22" s="4">
        <f>[1]season!B7-B7</f>
        <v>12288.89262668747</v>
      </c>
      <c r="C22" s="4">
        <f>[1]season!C7-C7</f>
        <v>34812.893939393944</v>
      </c>
      <c r="D22" s="4">
        <f>[1]season!D7-D7</f>
        <v>21289.666666666668</v>
      </c>
      <c r="E22" s="4">
        <f>[1]season!E7-E7</f>
        <v>16243.043608124255</v>
      </c>
      <c r="F22" s="4">
        <f>[1]season!F7-F7</f>
        <v>14520.902304147468</v>
      </c>
      <c r="G22" s="4">
        <f>[1]season!G7-G7</f>
        <v>8902.6108422938996</v>
      </c>
      <c r="H22" s="4">
        <f>[1]season!H7-H7</f>
        <v>12598.918569721794</v>
      </c>
      <c r="I22" s="4">
        <f>[1]season!I7-I7</f>
        <v>-23724.876523297495</v>
      </c>
      <c r="J22" s="4">
        <f>[1]season!J7-J7</f>
        <v>18920.070626100933</v>
      </c>
      <c r="K22" s="4">
        <f>[1]season!K7-K7</f>
        <v>-8456.4701388888934</v>
      </c>
      <c r="L22" s="4">
        <f>[1]season!L7-L7</f>
        <v>5237.7052704464004</v>
      </c>
      <c r="M22" s="4">
        <f>[1]season!M7-M7</f>
        <v>-5584.2202474049263</v>
      </c>
      <c r="N22" s="4">
        <f>[1]season!N7-N7</f>
        <v>36950.275255722336</v>
      </c>
      <c r="O22" s="4">
        <f>[1]season!O7-O7</f>
        <v>8000.8387896825334</v>
      </c>
      <c r="P22" s="4">
        <f>[1]season!P7-P7</f>
        <v>16954.862689082191</v>
      </c>
      <c r="Q22" s="4">
        <f>[1]season!Q7-Q7</f>
        <v>17661.173592162653</v>
      </c>
      <c r="R22" s="4">
        <f>[1]season!R7-R7</f>
        <v>16390.428540764464</v>
      </c>
      <c r="S22" s="4">
        <f>[1]season!S7-S7</f>
        <v>57888.586650754114</v>
      </c>
      <c r="T22" s="4">
        <f>[1]season!T7-T7</f>
        <v>-4734.4688944848676</v>
      </c>
      <c r="U22" s="4">
        <f>[1]season!U7-U7</f>
        <v>70987.604663038641</v>
      </c>
      <c r="V22" s="4">
        <f>[1]season!V7-V7</f>
        <v>-7723.8877240143302</v>
      </c>
      <c r="W22" s="4">
        <f>[1]season!W7-W7</f>
        <v>32654.666666666668</v>
      </c>
      <c r="X22" s="4">
        <f>[1]season!X7-X7</f>
        <v>37592.296139578451</v>
      </c>
      <c r="Y22" s="4">
        <f>[1]season!Y7-Y7</f>
        <v>8562.0137464319887</v>
      </c>
      <c r="Z22" s="4">
        <f>[1]season!Z7-Z7</f>
        <v>30823.333333333332</v>
      </c>
      <c r="AA22" s="4">
        <f>[1]season!AA7-AA7</f>
        <v>0</v>
      </c>
      <c r="AB22" s="4">
        <f>[1]season!AB7-AB7</f>
        <v>429056.86099270987</v>
      </c>
    </row>
    <row r="23" spans="2:28">
      <c r="B23" s="4">
        <f>[1]season!B8-B8</f>
        <v>-23078.540956485926</v>
      </c>
      <c r="C23" s="4">
        <f>[1]season!C8-C8</f>
        <v>7772.6373947242964</v>
      </c>
      <c r="D23" s="4">
        <f>[1]season!D8-D8</f>
        <v>7864</v>
      </c>
      <c r="E23" s="4">
        <f>[1]season!E8-E8</f>
        <v>-8491.6676929392452</v>
      </c>
      <c r="F23" s="4">
        <f>[1]season!F8-F8</f>
        <v>-9738.0355432402866</v>
      </c>
      <c r="G23" s="4">
        <f>[1]season!G8-G8</f>
        <v>-32978.639877641828</v>
      </c>
      <c r="H23" s="4">
        <f>[1]season!H8-H8</f>
        <v>-12377.054770244074</v>
      </c>
      <c r="I23" s="4">
        <f>[1]season!I8-I8</f>
        <v>-31423.276477832515</v>
      </c>
      <c r="J23" s="4">
        <f>[1]season!J8-J8</f>
        <v>-11412.482914216856</v>
      </c>
      <c r="K23" s="4">
        <f>[1]season!K8-K8</f>
        <v>-15750.07646723873</v>
      </c>
      <c r="L23" s="4">
        <f>[1]season!L8-L8</f>
        <v>-20826.712613883148</v>
      </c>
      <c r="M23" s="4">
        <f>[1]season!M8-M8</f>
        <v>-27808.034530628109</v>
      </c>
      <c r="N23" s="4">
        <f>[1]season!N8-N8</f>
        <v>-23944.647364867706</v>
      </c>
      <c r="O23" s="4">
        <f>[1]season!O8-O8</f>
        <v>-12993.533841529254</v>
      </c>
      <c r="P23" s="4">
        <f>[1]season!P8-P8</f>
        <v>-17007.543010231584</v>
      </c>
      <c r="Q23" s="4">
        <f>[1]season!Q8-Q8</f>
        <v>-17229.074110122358</v>
      </c>
      <c r="R23" s="4">
        <f>[1]season!R8-R8</f>
        <v>-6864.658535939403</v>
      </c>
      <c r="S23" s="4">
        <f>[1]season!S8-S8</f>
        <v>-723.47677681805362</v>
      </c>
      <c r="T23" s="4">
        <f>[1]season!T8-T8</f>
        <v>-23952.290357893253</v>
      </c>
      <c r="U23" s="4">
        <f>[1]season!U8-U8</f>
        <v>6882.1458991602813</v>
      </c>
      <c r="V23" s="4">
        <f>[1]season!V8-V8</f>
        <v>-24689.732545118823</v>
      </c>
      <c r="W23" s="4">
        <f>[1]season!W8-W8</f>
        <v>14646.333333333334</v>
      </c>
      <c r="X23" s="4">
        <f>[1]season!X8-X8</f>
        <v>4656.0656234222915</v>
      </c>
      <c r="Y23" s="4">
        <f>[1]season!Y8-Y8</f>
        <v>-5188.8911633380176</v>
      </c>
      <c r="Z23" s="4">
        <f>[1]season!Z8-Z8</f>
        <v>11536</v>
      </c>
      <c r="AA23" s="4">
        <f>[1]season!AA8-AA8</f>
        <v>0</v>
      </c>
      <c r="AB23" s="4">
        <f>[1]season!AB8-AB8</f>
        <v>-273121.18729956885</v>
      </c>
    </row>
    <row r="24" spans="2:28">
      <c r="B24" s="4">
        <f>[1]season!B9-B9</f>
        <v>23692.116759000448</v>
      </c>
      <c r="C24" s="4">
        <f>[1]season!C9-C9</f>
        <v>40203.099103942652</v>
      </c>
      <c r="D24" s="4">
        <f>[1]season!D9-D9</f>
        <v>25705.333333333332</v>
      </c>
      <c r="E24" s="4">
        <f>[1]season!E9-E9</f>
        <v>46605.26934820124</v>
      </c>
      <c r="F24" s="4">
        <f>[1]season!F9-F9</f>
        <v>27107.908827118128</v>
      </c>
      <c r="G24" s="4">
        <f>[1]season!G9-G9</f>
        <v>34024.102956989249</v>
      </c>
      <c r="H24" s="4">
        <f>[1]season!H9-H9</f>
        <v>20023.196340904993</v>
      </c>
      <c r="I24" s="4">
        <f>[1]season!I9-I9</f>
        <v>-17296.629390681006</v>
      </c>
      <c r="J24" s="4">
        <f>[1]season!J9-J9</f>
        <v>38421.484646401972</v>
      </c>
      <c r="K24" s="4">
        <f>[1]season!K9-K9</f>
        <v>986.90017921146864</v>
      </c>
      <c r="L24" s="4">
        <f>[1]season!L9-L9</f>
        <v>12130.076971326162</v>
      </c>
      <c r="M24" s="4">
        <f>[1]season!M9-M9</f>
        <v>-3069.359139784945</v>
      </c>
      <c r="N24" s="4">
        <f>[1]season!N9-N9</f>
        <v>50056.183584229395</v>
      </c>
      <c r="O24" s="4">
        <f>[1]season!O9-O9</f>
        <v>15801.672849462368</v>
      </c>
      <c r="P24" s="4">
        <f>[1]season!P9-P9</f>
        <v>29196.008227810315</v>
      </c>
      <c r="Q24" s="4">
        <f>[1]season!Q9-Q9</f>
        <v>30214.51078753484</v>
      </c>
      <c r="R24" s="4">
        <f>[1]season!R9-R9</f>
        <v>25089.112534261018</v>
      </c>
      <c r="S24" s="4">
        <f>[1]season!S9-S9</f>
        <v>87693.07814876808</v>
      </c>
      <c r="T24" s="4">
        <f>[1]season!T9-T9</f>
        <v>-234.07809045328759</v>
      </c>
      <c r="U24" s="4">
        <f>[1]season!U9-U9</f>
        <v>91417.857855436087</v>
      </c>
      <c r="V24" s="4">
        <f>[1]season!V9-V9</f>
        <v>-3634.1053931768038</v>
      </c>
      <c r="W24" s="4">
        <f>[1]season!W9-W9</f>
        <v>42153</v>
      </c>
      <c r="X24" s="4">
        <f>[1]season!X9-X9</f>
        <v>41521.057838921435</v>
      </c>
      <c r="Y24" s="4">
        <f>[1]season!Y9-Y9</f>
        <v>16375.353392395424</v>
      </c>
      <c r="Z24" s="4">
        <f>[1]season!Z9-Z9</f>
        <v>35613.666666666664</v>
      </c>
      <c r="AA24" s="4">
        <f>[1]season!AA9-AA9</f>
        <v>0</v>
      </c>
      <c r="AB24" s="4">
        <f>[1]season!AB9-AB9</f>
        <v>709796.81833781931</v>
      </c>
    </row>
    <row r="25" spans="2:28">
      <c r="B25" s="4">
        <f>[1]season!B10-B10</f>
        <v>48602.982809180183</v>
      </c>
      <c r="C25" s="4">
        <f>[1]season!C10-C10</f>
        <v>71758.140860215048</v>
      </c>
      <c r="D25" s="4">
        <f>[1]season!D10-D10</f>
        <v>39713.333333333336</v>
      </c>
      <c r="E25" s="4">
        <f>[1]season!E10-E10</f>
        <v>110464.23198204928</v>
      </c>
      <c r="F25" s="4">
        <f>[1]season!F10-F10</f>
        <v>53414.543548387097</v>
      </c>
      <c r="G25" s="4">
        <f>[1]season!G10-G10</f>
        <v>74467.45681003583</v>
      </c>
      <c r="H25" s="4">
        <f>[1]season!H10-H10</f>
        <v>51840.475365632607</v>
      </c>
      <c r="I25" s="4">
        <f>[1]season!I10-I10</f>
        <v>-6261.3774131751343</v>
      </c>
      <c r="J25" s="4">
        <f>[1]season!J10-J10</f>
        <v>75873.777347419673</v>
      </c>
      <c r="K25" s="4">
        <f>[1]season!K10-K10</f>
        <v>14800.678315412188</v>
      </c>
      <c r="L25" s="4">
        <f>[1]season!L10-L10</f>
        <v>37969.972311827958</v>
      </c>
      <c r="M25" s="4">
        <f>[1]season!M10-M10</f>
        <v>14417.014881896706</v>
      </c>
      <c r="N25" s="4">
        <f>[1]season!N10-N10</f>
        <v>95294.077838437166</v>
      </c>
      <c r="O25" s="4">
        <f>[1]season!O10-O10</f>
        <v>35048.225313620074</v>
      </c>
      <c r="P25" s="4">
        <f>[1]season!P10-P10</f>
        <v>63540.068761683666</v>
      </c>
      <c r="Q25" s="4">
        <f>[1]season!Q10-Q10</f>
        <v>59336.972882122987</v>
      </c>
      <c r="R25" s="4">
        <f>[1]season!R10-R10</f>
        <v>47137.090920565766</v>
      </c>
      <c r="S25" s="4">
        <f>[1]season!S10-S10</f>
        <v>150535.33087028496</v>
      </c>
      <c r="T25" s="4">
        <f>[1]season!T10-T10</f>
        <v>27095.551543209876</v>
      </c>
      <c r="U25" s="4">
        <f>[1]season!U10-U10</f>
        <v>142067.55495227542</v>
      </c>
      <c r="V25" s="4">
        <f>[1]season!V10-V10</f>
        <v>11183.920936324976</v>
      </c>
      <c r="W25" s="4">
        <f>[1]season!W10-W10</f>
        <v>63736</v>
      </c>
      <c r="X25" s="4">
        <f>[1]season!X10-X10</f>
        <v>59090.975101915188</v>
      </c>
      <c r="Y25" s="4">
        <f>[1]season!Y10-Y10</f>
        <v>28749.571591762051</v>
      </c>
      <c r="Z25" s="4">
        <f>[1]season!Z10-Z10</f>
        <v>56341</v>
      </c>
      <c r="AA25" s="4">
        <f>[1]season!AA10-AA10</f>
        <v>0</v>
      </c>
      <c r="AB25" s="4">
        <f>[1]season!AB10-AB10</f>
        <v>1426217.5708644167</v>
      </c>
    </row>
    <row r="26" spans="2:28">
      <c r="B26" s="4">
        <f>[1]season!B11-B11</f>
        <v>38690.529761144913</v>
      </c>
      <c r="C26" s="4">
        <f>[1]season!C11-C11</f>
        <v>67072.907736468012</v>
      </c>
      <c r="D26" s="4">
        <f>[1]season!D11-D11</f>
        <v>35778</v>
      </c>
      <c r="E26" s="4">
        <f>[1]season!E11-E11</f>
        <v>101831.68111409336</v>
      </c>
      <c r="F26" s="4">
        <f>[1]season!F11-F11</f>
        <v>39041.049291967807</v>
      </c>
      <c r="G26" s="4">
        <f>[1]season!G11-G11</f>
        <v>62943.327832128787</v>
      </c>
      <c r="H26" s="4">
        <f>[1]season!H11-H11</f>
        <v>45254.025627240131</v>
      </c>
      <c r="I26" s="4">
        <f>[1]season!I11-I11</f>
        <v>-9140.5396057347643</v>
      </c>
      <c r="J26" s="4">
        <f>[1]season!J11-J11</f>
        <v>67370.547267025075</v>
      </c>
      <c r="K26" s="4">
        <f>[1]season!K11-K11</f>
        <v>11583.340681003585</v>
      </c>
      <c r="L26" s="4">
        <f>[1]season!L11-L11</f>
        <v>34541.936648745519</v>
      </c>
      <c r="M26" s="4">
        <f>[1]season!M11-M11</f>
        <v>11227.532795698928</v>
      </c>
      <c r="N26" s="4">
        <f>[1]season!N11-N11</f>
        <v>77473.393295590213</v>
      </c>
      <c r="O26" s="4">
        <f>[1]season!O11-O11</f>
        <v>25358.486827956986</v>
      </c>
      <c r="P26" s="4">
        <f>[1]season!P11-P11</f>
        <v>53480.06721120781</v>
      </c>
      <c r="Q26" s="4">
        <f>[1]season!Q11-Q11</f>
        <v>53833.943542971363</v>
      </c>
      <c r="R26" s="4">
        <f>[1]season!R11-R11</f>
        <v>43835.416009557943</v>
      </c>
      <c r="S26" s="4">
        <f>[1]season!S11-S11</f>
        <v>138639.0299010181</v>
      </c>
      <c r="T26" s="4">
        <f>[1]season!T11-T11</f>
        <v>22996.352027303634</v>
      </c>
      <c r="U26" s="4">
        <f>[1]season!U11-U11</f>
        <v>131315.75327620038</v>
      </c>
      <c r="V26" s="4">
        <f>[1]season!V11-V11</f>
        <v>6966.2378109183337</v>
      </c>
      <c r="W26" s="4">
        <f>[1]season!W11-W11</f>
        <v>60288.666666666664</v>
      </c>
      <c r="X26" s="4">
        <f>[1]season!X11-X11</f>
        <v>58526.005141962974</v>
      </c>
      <c r="Y26" s="4">
        <f>[1]season!Y11-Y11</f>
        <v>27119.35856945151</v>
      </c>
      <c r="Z26" s="4">
        <f>[1]season!Z11-Z11</f>
        <v>53937.333333333336</v>
      </c>
      <c r="AA26" s="4">
        <f>[1]season!AA11-AA11</f>
        <v>0</v>
      </c>
      <c r="AB26" s="4">
        <f>[1]season!AB11-AB11</f>
        <v>1259964.3827639208</v>
      </c>
    </row>
    <row r="27" spans="2:28">
      <c r="B27" s="4">
        <f>[1]season!B12-B12</f>
        <v>-10902.486439959746</v>
      </c>
      <c r="C27" s="4">
        <f>[1]season!C12-C12</f>
        <v>21187.502780867631</v>
      </c>
      <c r="D27" s="4">
        <f>[1]season!D12-D12</f>
        <v>14090.333333333334</v>
      </c>
      <c r="E27" s="4">
        <f>[1]season!E12-E12</f>
        <v>26487.108394405648</v>
      </c>
      <c r="F27" s="4">
        <f>[1]season!F12-F12</f>
        <v>-175.56340378198001</v>
      </c>
      <c r="G27" s="4">
        <f>[1]season!G12-G12</f>
        <v>-12111.602984797923</v>
      </c>
      <c r="H27" s="4">
        <f>[1]season!H12-H12</f>
        <v>1233.6832842398398</v>
      </c>
      <c r="I27" s="4">
        <f>[1]season!I12-I12</f>
        <v>-23314.95006595063</v>
      </c>
      <c r="J27" s="4">
        <f>[1]season!J12-J12</f>
        <v>8816.8470522803145</v>
      </c>
      <c r="K27" s="4">
        <f>[1]season!K12-K12</f>
        <v>-8365.1744530960314</v>
      </c>
      <c r="L27" s="4">
        <f>[1]season!L12-L12</f>
        <v>-5210.9423878383386</v>
      </c>
      <c r="M27" s="4">
        <f>[1]season!M12-M12</f>
        <v>-20653.076103077492</v>
      </c>
      <c r="N27" s="4">
        <f>[1]season!N12-N12</f>
        <v>-3562.7508160106809</v>
      </c>
      <c r="O27" s="4">
        <f>[1]season!O12-O12</f>
        <v>-4511.0958781361987</v>
      </c>
      <c r="P27" s="4">
        <f>[1]season!P12-P12</f>
        <v>-2389.8562847608409</v>
      </c>
      <c r="Q27" s="4">
        <f>[1]season!Q12-Q12</f>
        <v>-1577.9860493140513</v>
      </c>
      <c r="R27" s="4">
        <f>[1]season!R12-R12</f>
        <v>5087.0379134566538</v>
      </c>
      <c r="S27" s="4">
        <f>[1]season!S12-S12</f>
        <v>29146.085016273224</v>
      </c>
      <c r="T27" s="4">
        <f>[1]season!T12-T12</f>
        <v>-9650.8265191356513</v>
      </c>
      <c r="U27" s="4">
        <f>[1]season!U12-U12</f>
        <v>30239.91609579213</v>
      </c>
      <c r="V27" s="4">
        <f>[1]season!V12-V12</f>
        <v>-17835.961300724688</v>
      </c>
      <c r="W27" s="4">
        <f>[1]season!W12-W12</f>
        <v>24543.333333333332</v>
      </c>
      <c r="X27" s="4">
        <f>[1]season!X12-X12</f>
        <v>15858.139897766461</v>
      </c>
      <c r="Y27" s="4">
        <f>[1]season!Y12-Y12</f>
        <v>3591.5350549142167</v>
      </c>
      <c r="Z27" s="4">
        <f>[1]season!Z12-Z12</f>
        <v>22032.666666666668</v>
      </c>
      <c r="AA27" s="4">
        <f>[1]season!AA12-AA12</f>
        <v>0</v>
      </c>
      <c r="AB27" s="4">
        <f>[1]season!AB12-AB12</f>
        <v>82051.916136744898</v>
      </c>
    </row>
    <row r="28" spans="2:28">
      <c r="B28" s="4">
        <f>[1]season!B13-B13</f>
        <v>36095.460306128451</v>
      </c>
      <c r="C28" s="4">
        <f>[1]season!C13-C13</f>
        <v>70313.128494623656</v>
      </c>
      <c r="D28" s="4">
        <f>[1]season!D13-D13</f>
        <v>38453.333333333336</v>
      </c>
      <c r="E28" s="4">
        <f>[1]season!E13-E13</f>
        <v>115261.20462859968</v>
      </c>
      <c r="F28" s="4">
        <f>[1]season!F13-F13</f>
        <v>38657.566935483876</v>
      </c>
      <c r="G28" s="4">
        <f>[1]season!G13-G13</f>
        <v>57767.159587813614</v>
      </c>
      <c r="H28" s="4">
        <f>[1]season!H13-H13</f>
        <v>46501.376144962167</v>
      </c>
      <c r="I28" s="4">
        <f>[1]season!I13-I13</f>
        <v>-4776.5989247311845</v>
      </c>
      <c r="J28" s="4">
        <f>[1]season!J13-J13</f>
        <v>72040.600358422947</v>
      </c>
      <c r="K28" s="4">
        <f>[1]season!K13-K13</f>
        <v>17348.046415770612</v>
      </c>
      <c r="L28" s="4">
        <f>[1]season!L13-L13</f>
        <v>34569.787096774184</v>
      </c>
      <c r="M28" s="4">
        <f>[1]season!M13-M13</f>
        <v>15633.49426523297</v>
      </c>
      <c r="N28" s="4">
        <f>[1]season!N13-N13</f>
        <v>90251.715769585251</v>
      </c>
      <c r="O28" s="4">
        <f>[1]season!O13-O13</f>
        <v>29270.195683990441</v>
      </c>
      <c r="P28" s="4">
        <f>[1]season!P13-P13</f>
        <v>50918.35906248571</v>
      </c>
      <c r="Q28" s="4">
        <f>[1]season!Q13-Q13</f>
        <v>65202.602419354829</v>
      </c>
      <c r="R28" s="4">
        <f>[1]season!R13-R13</f>
        <v>45964.581034147428</v>
      </c>
      <c r="S28" s="4">
        <f>[1]season!S13-S13</f>
        <v>135953.61854287289</v>
      </c>
      <c r="T28" s="4">
        <f>[1]season!T13-T13</f>
        <v>37877.427006090358</v>
      </c>
      <c r="U28" s="4">
        <f>[1]season!U13-U13</f>
        <v>152512.91224586396</v>
      </c>
      <c r="V28" s="4">
        <f>[1]season!V13-V13</f>
        <v>19463.612454228278</v>
      </c>
      <c r="W28" s="4">
        <f>[1]season!W13-W13</f>
        <v>63626.333333333336</v>
      </c>
      <c r="X28" s="4">
        <f>[1]season!X13-X13</f>
        <v>48679.963145263566</v>
      </c>
      <c r="Y28" s="4">
        <f>[1]season!Y13-Y13</f>
        <v>24805.127099802485</v>
      </c>
      <c r="Z28" s="4">
        <f>[1]season!Z13-Z13</f>
        <v>57529.333333333336</v>
      </c>
      <c r="AA28" s="4">
        <f>[1]season!AA13-AA13</f>
        <v>0</v>
      </c>
      <c r="AB28" s="4">
        <f>[1]season!AB13-AB13</f>
        <v>1359920.3397727658</v>
      </c>
    </row>
    <row r="29" spans="2:28">
      <c r="B29" s="4">
        <f>[1]season!B14-B14</f>
        <v>33119.437297521734</v>
      </c>
      <c r="C29" s="4">
        <f>[1]season!C14-C14</f>
        <v>81442.56505376345</v>
      </c>
      <c r="D29" s="4">
        <f>[1]season!D14-D14</f>
        <v>55212.333333333336</v>
      </c>
      <c r="E29" s="4">
        <f>[1]season!E14-E14</f>
        <v>179375.13324063775</v>
      </c>
      <c r="F29" s="4">
        <f>[1]season!F14-F14</f>
        <v>58964.21079109062</v>
      </c>
      <c r="G29" s="4">
        <f>[1]season!G14-G14</f>
        <v>53651.847849462363</v>
      </c>
      <c r="H29" s="4">
        <f>[1]season!H14-H14</f>
        <v>69043.203942652326</v>
      </c>
      <c r="I29" s="4">
        <f>[1]season!I14-I14</f>
        <v>16425.683333333334</v>
      </c>
      <c r="J29" s="4">
        <f>[1]season!J14-J14</f>
        <v>106649.54695340504</v>
      </c>
      <c r="K29" s="4">
        <f>[1]season!K14-K14</f>
        <v>27924.181003584232</v>
      </c>
      <c r="L29" s="4">
        <f>[1]season!L14-L14</f>
        <v>49413.21536671614</v>
      </c>
      <c r="M29" s="4">
        <f>[1]season!M14-M14</f>
        <v>23221.174283154127</v>
      </c>
      <c r="N29" s="4">
        <f>[1]season!N14-N14</f>
        <v>92401.253778579936</v>
      </c>
      <c r="O29" s="4">
        <f>[1]season!O14-O14</f>
        <v>33049.598302015467</v>
      </c>
      <c r="P29" s="4">
        <f>[1]season!P14-P14</f>
        <v>55428.378474142337</v>
      </c>
      <c r="Q29" s="4">
        <f>[1]season!Q14-Q14</f>
        <v>56906.981675627227</v>
      </c>
      <c r="R29" s="4">
        <f>[1]season!R14-R14</f>
        <v>52079.502150537635</v>
      </c>
      <c r="S29" s="4">
        <f>[1]season!S14-S14</f>
        <v>138348.05713976879</v>
      </c>
      <c r="T29" s="4">
        <f>[1]season!T14-T14</f>
        <v>70164.50176132255</v>
      </c>
      <c r="U29" s="4">
        <f>[1]season!U14-U14</f>
        <v>163876.94452219509</v>
      </c>
      <c r="V29" s="4">
        <f>[1]season!V14-V14</f>
        <v>18966.047578009697</v>
      </c>
      <c r="W29" s="4">
        <f>[1]season!W14-W14</f>
        <v>74654</v>
      </c>
      <c r="X29" s="4">
        <f>[1]season!X14-X14</f>
        <v>58883.106647762761</v>
      </c>
      <c r="Y29" s="4">
        <f>[1]season!Y14-Y14</f>
        <v>31685.894237661978</v>
      </c>
      <c r="Z29" s="4">
        <f>[1]season!Z14-Z14</f>
        <v>68470.666666666672</v>
      </c>
      <c r="AA29" s="4">
        <f>[1]season!AA14-AA14</f>
        <v>0</v>
      </c>
      <c r="AB29" s="4">
        <f>[1]season!AB14-AB14</f>
        <v>1669357.4653829446</v>
      </c>
    </row>
    <row r="30" spans="2:28">
      <c r="B30" s="4">
        <f>[1]season!B15-B15</f>
        <v>40913.751919289294</v>
      </c>
      <c r="C30" s="4">
        <f>[1]season!C15-C15</f>
        <v>83361.440322580645</v>
      </c>
      <c r="D30" s="4">
        <f>[1]season!D15-D15</f>
        <v>50442.333333333336</v>
      </c>
      <c r="E30" s="4">
        <f>[1]season!E15-E15</f>
        <v>206810.9754761199</v>
      </c>
      <c r="F30" s="4">
        <f>[1]season!F15-F15</f>
        <v>61657.456093189976</v>
      </c>
      <c r="G30" s="4">
        <f>[1]season!G15-G15</f>
        <v>58319.03611111112</v>
      </c>
      <c r="H30" s="4">
        <f>[1]season!H15-H15</f>
        <v>80783.005232824304</v>
      </c>
      <c r="I30" s="4">
        <f>[1]season!I15-I15</f>
        <v>46602.333333333336</v>
      </c>
      <c r="J30" s="4">
        <f>[1]season!J15-J15</f>
        <v>107431.46164874551</v>
      </c>
      <c r="K30" s="4">
        <f>[1]season!K15-K15</f>
        <v>33955.0853046595</v>
      </c>
      <c r="L30" s="4">
        <f>[1]season!L15-L15</f>
        <v>56766.790232974905</v>
      </c>
      <c r="M30" s="4">
        <f>[1]season!M15-M15</f>
        <v>28587.67858422939</v>
      </c>
      <c r="N30" s="4">
        <f>[1]season!N15-N15</f>
        <v>98087.115108179889</v>
      </c>
      <c r="O30" s="4">
        <f>[1]season!O15-O15</f>
        <v>37299.012706270092</v>
      </c>
      <c r="P30" s="4">
        <f>[1]season!P15-P15</f>
        <v>63649.104573476703</v>
      </c>
      <c r="Q30" s="4">
        <f>[1]season!Q15-Q15</f>
        <v>69726.051523297487</v>
      </c>
      <c r="R30" s="4">
        <f>[1]season!R15-R15</f>
        <v>52479.24752127078</v>
      </c>
      <c r="S30" s="4">
        <f>[1]season!S15-S15</f>
        <v>150376.99406120149</v>
      </c>
      <c r="T30" s="4">
        <f>[1]season!T15-T15</f>
        <v>91710.266496831813</v>
      </c>
      <c r="U30" s="4">
        <f>[1]season!U15-U15</f>
        <v>177758.24439382507</v>
      </c>
      <c r="V30" s="4">
        <f>[1]season!V15-V15</f>
        <v>25930.569479291124</v>
      </c>
      <c r="W30" s="4">
        <f>[1]season!W15-W15</f>
        <v>77689.333333333328</v>
      </c>
      <c r="X30" s="4">
        <f>[1]season!X15-X15</f>
        <v>71913.703592267324</v>
      </c>
      <c r="Y30" s="4">
        <f>[1]season!Y15-Y15</f>
        <v>41190.282595761237</v>
      </c>
      <c r="Z30" s="4">
        <f>[1]season!Z15-Z15</f>
        <v>74718.666666666672</v>
      </c>
      <c r="AA30" s="4">
        <f>[1]season!AA15-AA15</f>
        <v>0</v>
      </c>
      <c r="AB30" s="4">
        <f>[1]season!AB15-AB15</f>
        <v>1888159.9396440643</v>
      </c>
    </row>
    <row r="31" spans="2:28">
      <c r="B31" s="4">
        <f>[1]season!B16-B16</f>
        <v>1847.229641660997</v>
      </c>
      <c r="C31" s="4">
        <f>[1]season!C16-C16</f>
        <v>34837.93548387097</v>
      </c>
      <c r="D31" s="4">
        <f>[1]season!D16-D16</f>
        <v>24392</v>
      </c>
      <c r="E31" s="4">
        <f>[1]season!E16-E16</f>
        <v>76010.767116509218</v>
      </c>
      <c r="F31" s="4">
        <f>[1]season!F16-F16</f>
        <v>16507.209677419352</v>
      </c>
      <c r="G31" s="4">
        <f>[1]season!G16-G16</f>
        <v>2392.2419354838712</v>
      </c>
      <c r="H31" s="4">
        <f>[1]season!H16-H16</f>
        <v>23770.420122887866</v>
      </c>
      <c r="I31" s="4">
        <f>[1]season!I16-I16</f>
        <v>22571</v>
      </c>
      <c r="J31" s="4">
        <f>[1]season!J16-J16</f>
        <v>36296.311033724342</v>
      </c>
      <c r="K31" s="4">
        <f>[1]season!K16-K16</f>
        <v>4800.1774193548372</v>
      </c>
      <c r="L31" s="4">
        <f>[1]season!L16-L16</f>
        <v>16402.975806451614</v>
      </c>
      <c r="M31" s="4">
        <f>[1]season!M16-M16</f>
        <v>-5884.1370967741968</v>
      </c>
      <c r="N31" s="4">
        <f>[1]season!N16-N16</f>
        <v>14997.616129032256</v>
      </c>
      <c r="O31" s="4">
        <f>[1]season!O16-O16</f>
        <v>7740.2329178885666</v>
      </c>
      <c r="P31" s="4">
        <f>[1]season!P16-P16</f>
        <v>11610.216304985341</v>
      </c>
      <c r="Q31" s="4">
        <f>[1]season!Q16-Q16</f>
        <v>14313.024193548386</v>
      </c>
      <c r="R31" s="4">
        <f>[1]season!R16-R16</f>
        <v>18740.020993343573</v>
      </c>
      <c r="S31" s="4">
        <f>[1]season!S16-S16</f>
        <v>50822.717741935485</v>
      </c>
      <c r="T31" s="4">
        <f>[1]season!T16-T16</f>
        <v>26779.010752688169</v>
      </c>
      <c r="U31" s="4">
        <f>[1]season!U16-U16</f>
        <v>65830.900537634414</v>
      </c>
      <c r="V31" s="4">
        <f>[1]season!V16-V16</f>
        <v>-6090.1290322580608</v>
      </c>
      <c r="W31" s="4">
        <f>[1]season!W16-W16</f>
        <v>31568</v>
      </c>
      <c r="X31" s="4">
        <f>[1]season!X16-X16</f>
        <v>29190.582589285714</v>
      </c>
      <c r="Y31" s="4">
        <f>[1]season!Y16-Y16</f>
        <v>14148.736202653648</v>
      </c>
      <c r="Z31" s="4">
        <f>[1]season!Z16-Z16</f>
        <v>30258</v>
      </c>
      <c r="AA31" s="4">
        <f>[1]season!AA16-AA16</f>
        <v>0</v>
      </c>
      <c r="AB31" s="4">
        <f>[1]season!AB16-AB16</f>
        <v>563853.06047132623</v>
      </c>
    </row>
    <row r="32" spans="2:28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</row>
    <row r="33" spans="2:28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2:28">
      <c r="B34" s="4">
        <f>_xlfn.STDEV.P(B19:AB31)</f>
        <v>194134.34267809207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</row>
    <row r="35" spans="2:28">
      <c r="B35" s="4">
        <f>_xlfn.STDEV.S(B19:AB31)</f>
        <v>194411.4796395688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</row>
    <row r="36" spans="2:28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2:28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</row>
    <row r="38" spans="2:28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2:28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</row>
    <row r="40" spans="2:28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</row>
    <row r="41" spans="2:28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</row>
    <row r="42" spans="2:28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</row>
    <row r="43" spans="2:28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</row>
    <row r="44" spans="2:28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</row>
    <row r="45" spans="2:28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</row>
    <row r="46" spans="2:28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</row>
    <row r="47" spans="2:28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</row>
    <row r="48" spans="2:28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</row>
    <row r="49" spans="2:28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</row>
    <row r="50" spans="2:28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</row>
    <row r="51" spans="2:28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</row>
    <row r="52" spans="2:28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</row>
    <row r="53" spans="2:28">
      <c r="B53" s="2"/>
    </row>
    <row r="54" spans="2:28">
      <c r="B54" s="2"/>
    </row>
    <row r="55" spans="2:28">
      <c r="B55" s="2"/>
    </row>
    <row r="56" spans="2:28">
      <c r="B56" s="2"/>
    </row>
    <row r="57" spans="2:28">
      <c r="B57" s="2"/>
    </row>
    <row r="58" spans="2:28">
      <c r="B58" s="2"/>
    </row>
    <row r="59" spans="2:28">
      <c r="B59" s="2"/>
    </row>
    <row r="60" spans="2:28">
      <c r="B60" s="2"/>
    </row>
    <row r="61" spans="2:28">
      <c r="B61" s="2"/>
    </row>
    <row r="62" spans="2:28">
      <c r="B62" s="2"/>
    </row>
    <row r="63" spans="2:28">
      <c r="B63" s="2"/>
    </row>
    <row r="64" spans="2:28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</sheetData>
  <phoneticPr fontId="1" type="noConversion"/>
  <pageMargins left="0.7" right="0.7" top="0.75" bottom="0.75" header="0.3" footer="0.3"/>
  <pageSetup paperSize="9" orientation="portrait" r:id="rId1"/>
  <ignoredErrors>
    <ignoredError sqref="B4:Z16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295AF-4650-4249-861C-B96093C7824C}">
  <sheetPr codeName="Sheet1"/>
  <dimension ref="A2:Z97"/>
  <sheetViews>
    <sheetView zoomScale="125" zoomScaleNormal="85" workbookViewId="0">
      <selection activeCell="B15" sqref="B15"/>
    </sheetView>
  </sheetViews>
  <sheetFormatPr baseColWidth="10" defaultColWidth="11.1640625" defaultRowHeight="17"/>
  <cols>
    <col min="2" max="3" width="13" bestFit="1" customWidth="1"/>
    <col min="4" max="4" width="11.33203125" bestFit="1" customWidth="1"/>
    <col min="5" max="22" width="13" bestFit="1" customWidth="1"/>
    <col min="23" max="24" width="11.33203125" bestFit="1" customWidth="1"/>
  </cols>
  <sheetData>
    <row r="2" spans="1:26">
      <c r="B2" t="s">
        <v>12</v>
      </c>
    </row>
    <row r="3" spans="1:26">
      <c r="B3" s="1" t="s">
        <v>15</v>
      </c>
      <c r="C3" s="1" t="s">
        <v>16</v>
      </c>
      <c r="D3" s="1" t="s">
        <v>17</v>
      </c>
      <c r="E3" s="1" t="s">
        <v>18</v>
      </c>
      <c r="F3" s="1" t="s">
        <v>19</v>
      </c>
      <c r="G3" s="1" t="s">
        <v>20</v>
      </c>
      <c r="H3" s="1" t="s">
        <v>21</v>
      </c>
      <c r="I3" s="1" t="s">
        <v>22</v>
      </c>
      <c r="J3" s="1" t="s">
        <v>23</v>
      </c>
      <c r="K3" s="1" t="s">
        <v>24</v>
      </c>
      <c r="L3" s="1" t="s">
        <v>25</v>
      </c>
      <c r="M3" s="1" t="s">
        <v>26</v>
      </c>
      <c r="N3" s="1" t="s">
        <v>27</v>
      </c>
      <c r="O3" s="1" t="s">
        <v>28</v>
      </c>
      <c r="P3" s="1" t="s">
        <v>29</v>
      </c>
      <c r="Q3" s="1" t="s">
        <v>30</v>
      </c>
      <c r="R3" s="1" t="s">
        <v>31</v>
      </c>
      <c r="S3" s="1" t="s">
        <v>32</v>
      </c>
      <c r="T3" s="1" t="s">
        <v>33</v>
      </c>
      <c r="U3" s="1" t="s">
        <v>34</v>
      </c>
      <c r="V3" s="1" t="s">
        <v>35</v>
      </c>
      <c r="W3" s="1" t="s">
        <v>36</v>
      </c>
      <c r="X3" s="1" t="s">
        <v>13</v>
      </c>
      <c r="Y3" s="1" t="s">
        <v>14</v>
      </c>
      <c r="Z3" s="1" t="s">
        <v>37</v>
      </c>
    </row>
    <row r="4" spans="1:26">
      <c r="A4" t="s">
        <v>0</v>
      </c>
      <c r="B4" s="4">
        <v>0</v>
      </c>
      <c r="C4" s="4">
        <v>25455.612903225807</v>
      </c>
      <c r="D4" s="9">
        <v>0</v>
      </c>
      <c r="E4" s="4">
        <v>20166.467741935485</v>
      </c>
      <c r="F4" s="4">
        <v>30578.629032258064</v>
      </c>
      <c r="G4" s="4">
        <v>35277.951612903227</v>
      </c>
      <c r="H4" s="4">
        <v>19442.887082672307</v>
      </c>
      <c r="I4" s="4">
        <v>33310</v>
      </c>
      <c r="J4" s="4">
        <v>26930.925591397852</v>
      </c>
      <c r="K4" s="4">
        <v>11914.68</v>
      </c>
      <c r="L4" s="4">
        <v>20704.66058906031</v>
      </c>
      <c r="M4" s="4">
        <v>54959.073493609249</v>
      </c>
      <c r="N4" s="4">
        <v>36378.039928809791</v>
      </c>
      <c r="O4" s="4">
        <v>28781.069892473115</v>
      </c>
      <c r="P4" s="4">
        <v>34646.295097254668</v>
      </c>
      <c r="Q4" s="4">
        <v>38466.569892473119</v>
      </c>
      <c r="R4" s="4">
        <v>16814.241935483868</v>
      </c>
      <c r="S4" s="4">
        <v>47791.842716635045</v>
      </c>
      <c r="T4" s="4">
        <v>26624.475806451614</v>
      </c>
      <c r="U4" s="4">
        <v>34658.750914129094</v>
      </c>
      <c r="V4" s="4">
        <v>41681.403225806454</v>
      </c>
      <c r="W4" s="9">
        <v>0</v>
      </c>
      <c r="X4" s="2">
        <v>36472.688397939826</v>
      </c>
      <c r="Y4" s="2">
        <v>34636.815039798908</v>
      </c>
      <c r="Z4" s="9">
        <v>0</v>
      </c>
    </row>
    <row r="5" spans="1:26">
      <c r="A5" t="s">
        <v>1</v>
      </c>
      <c r="B5" s="6">
        <v>41988.424960075288</v>
      </c>
      <c r="C5" s="9">
        <v>0</v>
      </c>
      <c r="D5" s="9">
        <v>0</v>
      </c>
      <c r="E5" s="6">
        <v>31097.601190476194</v>
      </c>
      <c r="F5" s="6">
        <v>29107.982142857145</v>
      </c>
      <c r="G5" s="6">
        <v>60724.803571428572</v>
      </c>
      <c r="H5" s="6">
        <v>29491.708333333332</v>
      </c>
      <c r="I5" s="6">
        <v>39679.964285714283</v>
      </c>
      <c r="J5" s="6">
        <v>33206.68303571429</v>
      </c>
      <c r="K5" s="6">
        <v>22719.041666666668</v>
      </c>
      <c r="L5" s="6">
        <v>36196.718928571427</v>
      </c>
      <c r="M5" s="6">
        <v>40911.724537037036</v>
      </c>
      <c r="N5" s="6">
        <v>59563.862337662336</v>
      </c>
      <c r="O5" s="6">
        <v>29722.35125</v>
      </c>
      <c r="P5" s="6">
        <v>36339.982142857145</v>
      </c>
      <c r="Q5" s="6">
        <v>38136.723214285717</v>
      </c>
      <c r="R5" s="6">
        <v>22429.922619047622</v>
      </c>
      <c r="S5" s="6">
        <v>32321.21875</v>
      </c>
      <c r="T5" s="6">
        <v>53407.107142857145</v>
      </c>
      <c r="U5" s="6">
        <v>29468.084821428572</v>
      </c>
      <c r="V5" s="6">
        <v>34647.946428571435</v>
      </c>
      <c r="W5" s="9">
        <v>0</v>
      </c>
      <c r="X5" s="3">
        <v>22813.114795918369</v>
      </c>
      <c r="Y5" s="3">
        <v>20616.80654761905</v>
      </c>
      <c r="Z5" s="9">
        <v>0</v>
      </c>
    </row>
    <row r="6" spans="1:26">
      <c r="A6" t="s">
        <v>2</v>
      </c>
      <c r="B6" s="4">
        <v>44897.667709019093</v>
      </c>
      <c r="C6" s="9">
        <v>0</v>
      </c>
      <c r="D6" s="9">
        <v>0</v>
      </c>
      <c r="E6" s="4">
        <v>31754.746254186495</v>
      </c>
      <c r="F6" s="4">
        <v>30227.201612903227</v>
      </c>
      <c r="G6" s="4">
        <v>62922.933744465525</v>
      </c>
      <c r="H6" s="4">
        <v>30074.166666666668</v>
      </c>
      <c r="I6" s="4">
        <v>41494.451612903227</v>
      </c>
      <c r="J6" s="4">
        <v>33904.93548387097</v>
      </c>
      <c r="K6" s="4">
        <v>23509.467741935485</v>
      </c>
      <c r="L6" s="4">
        <v>37783.443548387098</v>
      </c>
      <c r="M6" s="4">
        <v>42161.395161290318</v>
      </c>
      <c r="N6" s="4">
        <v>61353.971791281168</v>
      </c>
      <c r="O6" s="4">
        <v>31290.774788471706</v>
      </c>
      <c r="P6" s="4">
        <v>38283.673982020096</v>
      </c>
      <c r="Q6" s="4">
        <v>41499.435671417858</v>
      </c>
      <c r="R6" s="4">
        <v>23445.741935483868</v>
      </c>
      <c r="S6" s="4">
        <v>34109.02250777492</v>
      </c>
      <c r="T6" s="4">
        <v>39386.858674463932</v>
      </c>
      <c r="U6" s="4">
        <v>30551.774193548386</v>
      </c>
      <c r="V6" s="4">
        <v>35565.129032258068</v>
      </c>
      <c r="W6" s="9">
        <v>0</v>
      </c>
      <c r="X6" s="2">
        <v>23801.530030721966</v>
      </c>
      <c r="Y6" s="2">
        <v>21065.383822718501</v>
      </c>
      <c r="Z6" s="9">
        <v>0</v>
      </c>
    </row>
    <row r="7" spans="1:26">
      <c r="A7" t="s">
        <v>3</v>
      </c>
      <c r="B7" s="4">
        <v>44670.129256980952</v>
      </c>
      <c r="C7" s="4">
        <v>9009.8571428571431</v>
      </c>
      <c r="D7" s="9">
        <v>0</v>
      </c>
      <c r="E7" s="4">
        <v>32193.20321637427</v>
      </c>
      <c r="F7" s="4">
        <v>29796.408333333333</v>
      </c>
      <c r="G7" s="4">
        <v>63974.751724137932</v>
      </c>
      <c r="H7" s="4">
        <v>30137.705555555556</v>
      </c>
      <c r="I7" s="4">
        <v>40944.083333333336</v>
      </c>
      <c r="J7" s="4">
        <v>34170.873673483024</v>
      </c>
      <c r="K7" s="4">
        <v>23530.583333333332</v>
      </c>
      <c r="L7" s="4">
        <v>37830.483333333337</v>
      </c>
      <c r="M7" s="4">
        <v>42193.908333333333</v>
      </c>
      <c r="N7" s="4">
        <v>62129.404074074075</v>
      </c>
      <c r="O7" s="4">
        <v>31144.86002824859</v>
      </c>
      <c r="P7" s="4">
        <v>39284.546666666669</v>
      </c>
      <c r="Q7" s="4">
        <v>42512.928389830508</v>
      </c>
      <c r="R7" s="4">
        <v>23280.32777777778</v>
      </c>
      <c r="S7" s="4">
        <v>33917.608634315307</v>
      </c>
      <c r="T7" s="4">
        <v>40008.582183908053</v>
      </c>
      <c r="U7" s="4">
        <v>30685.87840909091</v>
      </c>
      <c r="V7" s="4">
        <v>36256.31186440678</v>
      </c>
      <c r="W7" s="9">
        <v>0</v>
      </c>
      <c r="X7" s="2">
        <v>23542.15894909688</v>
      </c>
      <c r="Y7" s="2">
        <v>21501.528661616165</v>
      </c>
      <c r="Z7" s="9">
        <v>0</v>
      </c>
    </row>
    <row r="8" spans="1:26">
      <c r="A8" t="s">
        <v>4</v>
      </c>
      <c r="B8" s="4">
        <v>44108.098050288339</v>
      </c>
      <c r="C8" s="4">
        <v>8150.7843137254904</v>
      </c>
      <c r="D8" s="9">
        <v>0</v>
      </c>
      <c r="E8" s="4">
        <v>32415.556952797528</v>
      </c>
      <c r="F8" s="4">
        <v>29859.33870967742</v>
      </c>
      <c r="G8" s="4">
        <v>63804.016129032258</v>
      </c>
      <c r="H8" s="4">
        <v>29992.43083652269</v>
      </c>
      <c r="I8" s="4">
        <v>41345.838709677417</v>
      </c>
      <c r="J8" s="4">
        <v>38761.650537634407</v>
      </c>
      <c r="K8" s="4">
        <v>23411.854838709678</v>
      </c>
      <c r="L8" s="4">
        <v>37569.080235101152</v>
      </c>
      <c r="M8" s="4">
        <v>42044.274193548386</v>
      </c>
      <c r="N8" s="4">
        <v>59781.290353302611</v>
      </c>
      <c r="O8" s="4">
        <v>31156.320639187576</v>
      </c>
      <c r="P8" s="4">
        <v>38234.017479739399</v>
      </c>
      <c r="Q8" s="4">
        <v>42179.20164154769</v>
      </c>
      <c r="R8" s="4">
        <v>23360.870967741936</v>
      </c>
      <c r="S8" s="4">
        <v>34146.497262309</v>
      </c>
      <c r="T8" s="4">
        <v>46536.258064516129</v>
      </c>
      <c r="U8" s="4">
        <v>30352.379825489159</v>
      </c>
      <c r="V8" s="4">
        <v>35599.471774193553</v>
      </c>
      <c r="W8" s="9">
        <v>0</v>
      </c>
      <c r="X8" s="2">
        <v>23439.520933008025</v>
      </c>
      <c r="Y8" s="2">
        <v>21237.168314334958</v>
      </c>
      <c r="Z8" s="9">
        <v>0</v>
      </c>
    </row>
    <row r="9" spans="1:26">
      <c r="A9" t="s">
        <v>5</v>
      </c>
      <c r="B9" s="4">
        <v>44264.338095238098</v>
      </c>
      <c r="C9" s="4">
        <v>8221.1666666666661</v>
      </c>
      <c r="D9" s="9">
        <v>0</v>
      </c>
      <c r="E9" s="4">
        <v>31554.011111111107</v>
      </c>
      <c r="F9" s="4">
        <v>28387.149999999998</v>
      </c>
      <c r="G9" s="4">
        <v>63082.433333333334</v>
      </c>
      <c r="H9" s="4">
        <v>28888.102777777778</v>
      </c>
      <c r="I9" s="4">
        <v>40751.199999999997</v>
      </c>
      <c r="J9" s="4">
        <v>34161.070833333331</v>
      </c>
      <c r="K9" s="4">
        <v>23039.074074074073</v>
      </c>
      <c r="L9" s="4">
        <v>38884.558333333334</v>
      </c>
      <c r="M9" s="4">
        <v>41849.258333333331</v>
      </c>
      <c r="N9" s="4">
        <v>61164.206965712052</v>
      </c>
      <c r="O9" s="4">
        <v>31146.212500000001</v>
      </c>
      <c r="P9" s="4">
        <v>38578.111960936825</v>
      </c>
      <c r="Q9" s="4">
        <v>42320.274999999994</v>
      </c>
      <c r="R9" s="4">
        <v>23299.227394636018</v>
      </c>
      <c r="S9" s="4">
        <v>33377.525219298244</v>
      </c>
      <c r="T9" s="4">
        <v>50741.033333333333</v>
      </c>
      <c r="U9" s="4">
        <v>32949.434710144924</v>
      </c>
      <c r="V9" s="4">
        <v>35615.34583333334</v>
      </c>
      <c r="W9" s="9">
        <v>0</v>
      </c>
      <c r="X9" s="2">
        <v>23397.243750000001</v>
      </c>
      <c r="Y9" s="2">
        <v>21217.727923350001</v>
      </c>
      <c r="Z9" s="9">
        <v>0</v>
      </c>
    </row>
    <row r="10" spans="1:26">
      <c r="A10" t="s">
        <v>6</v>
      </c>
      <c r="B10" s="4">
        <v>44662.460942811813</v>
      </c>
      <c r="C10" s="4">
        <v>8237.532258064517</v>
      </c>
      <c r="D10" s="9">
        <v>0</v>
      </c>
      <c r="E10" s="4">
        <v>32136.766308243725</v>
      </c>
      <c r="F10" s="4">
        <v>29152.443548387098</v>
      </c>
      <c r="G10" s="4">
        <v>62413.194838709678</v>
      </c>
      <c r="H10" s="4">
        <v>28830.580645161292</v>
      </c>
      <c r="I10" s="4">
        <v>40890.274193548386</v>
      </c>
      <c r="J10" s="4">
        <v>33863.903225806454</v>
      </c>
      <c r="K10" s="4">
        <v>23647.596774193549</v>
      </c>
      <c r="L10" s="4">
        <v>39117.419354838712</v>
      </c>
      <c r="M10" s="4">
        <v>40528.725806451614</v>
      </c>
      <c r="N10" s="4">
        <v>63208.893548387103</v>
      </c>
      <c r="O10" s="4">
        <v>31005.16129032258</v>
      </c>
      <c r="P10" s="4">
        <v>37970.884537277918</v>
      </c>
      <c r="Q10" s="4">
        <v>42540.818548387098</v>
      </c>
      <c r="R10" s="4">
        <v>22906.841530054644</v>
      </c>
      <c r="S10" s="4">
        <v>34867.525907808922</v>
      </c>
      <c r="T10" s="4">
        <v>40897.162790697672</v>
      </c>
      <c r="U10" s="4">
        <v>33322.025672043004</v>
      </c>
      <c r="V10" s="4">
        <v>35344.137096774197</v>
      </c>
      <c r="W10" s="9">
        <v>0</v>
      </c>
      <c r="X10" s="2">
        <v>23067.219489247316</v>
      </c>
      <c r="Y10" s="2">
        <v>20646.761397849459</v>
      </c>
      <c r="Z10" s="9">
        <v>0</v>
      </c>
    </row>
    <row r="11" spans="1:26">
      <c r="A11" t="s">
        <v>7</v>
      </c>
      <c r="B11" s="4">
        <v>43181.810900254037</v>
      </c>
      <c r="C11" s="4">
        <v>7854.083333333333</v>
      </c>
      <c r="D11" s="9">
        <v>0</v>
      </c>
      <c r="E11" s="4">
        <v>30679.037391193036</v>
      </c>
      <c r="F11" s="4">
        <v>28289.717741935485</v>
      </c>
      <c r="G11" s="4">
        <v>62259.903531073447</v>
      </c>
      <c r="H11" s="4">
        <v>27375.497972853871</v>
      </c>
      <c r="I11" s="4">
        <v>39185.714285714283</v>
      </c>
      <c r="J11" s="4">
        <v>33473.242907304004</v>
      </c>
      <c r="K11" s="4">
        <v>23302.274193548386</v>
      </c>
      <c r="L11" s="4">
        <v>38342.818010752686</v>
      </c>
      <c r="M11" s="4">
        <v>38991.809139784949</v>
      </c>
      <c r="N11" s="4">
        <v>62210.726737995145</v>
      </c>
      <c r="O11" s="4">
        <v>30002.512096774193</v>
      </c>
      <c r="P11" s="4">
        <v>34598.800307108875</v>
      </c>
      <c r="Q11" s="4">
        <v>41358.82688172043</v>
      </c>
      <c r="R11" s="4">
        <v>22325.467741935485</v>
      </c>
      <c r="S11" s="4">
        <v>33950.891502642611</v>
      </c>
      <c r="T11" s="4">
        <v>28691.497497219134</v>
      </c>
      <c r="U11" s="4">
        <v>32852.639358546534</v>
      </c>
      <c r="V11" s="4">
        <v>35080.746979223622</v>
      </c>
      <c r="W11" s="9">
        <v>0</v>
      </c>
      <c r="X11" s="2">
        <v>21682.345493008106</v>
      </c>
      <c r="Y11" s="2">
        <v>20479.661476045305</v>
      </c>
      <c r="Z11" s="9">
        <v>0</v>
      </c>
    </row>
    <row r="12" spans="1:26">
      <c r="A12" t="s">
        <v>8</v>
      </c>
      <c r="B12" s="4">
        <v>40921.471428571429</v>
      </c>
      <c r="C12" s="4">
        <v>7853.6</v>
      </c>
      <c r="D12" s="9">
        <v>0</v>
      </c>
      <c r="E12" s="4">
        <v>31384.788888888888</v>
      </c>
      <c r="F12" s="4">
        <v>27668.05</v>
      </c>
      <c r="G12" s="4">
        <v>62249.583333333328</v>
      </c>
      <c r="H12" s="4">
        <v>28495.766666666663</v>
      </c>
      <c r="I12" s="4">
        <v>39458.9</v>
      </c>
      <c r="J12" s="4">
        <v>34598.668452380953</v>
      </c>
      <c r="K12" s="4">
        <v>22570.666666666668</v>
      </c>
      <c r="L12" s="4">
        <v>37262.899999999994</v>
      </c>
      <c r="M12" s="4">
        <v>38636.858333333337</v>
      </c>
      <c r="N12" s="4">
        <v>61251.151443994604</v>
      </c>
      <c r="O12" s="4">
        <v>30170.912500000002</v>
      </c>
      <c r="P12" s="4">
        <v>33547.516666666663</v>
      </c>
      <c r="Q12" s="4">
        <v>40941.254166666673</v>
      </c>
      <c r="R12" s="4">
        <v>22660.235969868168</v>
      </c>
      <c r="S12" s="4">
        <v>32963.983042046602</v>
      </c>
      <c r="T12" s="4">
        <v>36140.438888888886</v>
      </c>
      <c r="U12" s="4">
        <v>32229.439999999995</v>
      </c>
      <c r="V12" s="4">
        <v>34567.929166666669</v>
      </c>
      <c r="W12" s="9">
        <v>0</v>
      </c>
      <c r="X12" s="2">
        <v>21366.173889069971</v>
      </c>
      <c r="Y12" s="2">
        <v>19495.994170518745</v>
      </c>
      <c r="Z12" s="9">
        <v>0</v>
      </c>
    </row>
    <row r="13" spans="1:26">
      <c r="A13" t="s">
        <v>9</v>
      </c>
      <c r="B13" s="4">
        <v>44490.312365591395</v>
      </c>
      <c r="C13" s="4">
        <v>7990.6181818181822</v>
      </c>
      <c r="D13" s="9">
        <v>0</v>
      </c>
      <c r="E13" s="4">
        <v>32115.591397849465</v>
      </c>
      <c r="F13" s="4">
        <v>28242.314516129034</v>
      </c>
      <c r="G13" s="4">
        <v>64709.725806451606</v>
      </c>
      <c r="H13" s="4">
        <v>28851.456989247312</v>
      </c>
      <c r="I13" s="4">
        <v>40014.112903225803</v>
      </c>
      <c r="J13" s="4">
        <v>34624.873835982915</v>
      </c>
      <c r="K13" s="4">
        <v>21671.34375</v>
      </c>
      <c r="L13" s="4">
        <v>38063.226612903229</v>
      </c>
      <c r="M13" s="4">
        <v>39960.629032258061</v>
      </c>
      <c r="N13" s="4">
        <v>64265.48672253183</v>
      </c>
      <c r="O13" s="4">
        <v>31012.625</v>
      </c>
      <c r="P13" s="4">
        <v>38423.730313705819</v>
      </c>
      <c r="Q13" s="4">
        <v>42327.31112286268</v>
      </c>
      <c r="R13" s="4">
        <v>22959.197132616489</v>
      </c>
      <c r="S13" s="4">
        <v>34698.509408602149</v>
      </c>
      <c r="T13" s="4">
        <v>38270.134937422881</v>
      </c>
      <c r="U13" s="4">
        <v>33703.084884792632</v>
      </c>
      <c r="V13" s="4">
        <v>35722.854838709674</v>
      </c>
      <c r="W13" s="9">
        <v>0</v>
      </c>
      <c r="X13" s="2">
        <v>23004.034576564089</v>
      </c>
      <c r="Y13" s="2">
        <v>20617.84801198947</v>
      </c>
      <c r="Z13" s="9">
        <v>0</v>
      </c>
    </row>
    <row r="14" spans="1:26">
      <c r="A14" t="s">
        <v>10</v>
      </c>
      <c r="B14" s="4">
        <v>44745.53832577476</v>
      </c>
      <c r="C14" s="4">
        <v>8112.1</v>
      </c>
      <c r="D14" s="9">
        <v>0</v>
      </c>
      <c r="E14" s="4">
        <v>32266.488888888893</v>
      </c>
      <c r="F14" s="4">
        <v>28806.928571428572</v>
      </c>
      <c r="G14" s="4">
        <v>64568.858333333337</v>
      </c>
      <c r="H14" s="4">
        <v>29817.020634920638</v>
      </c>
      <c r="I14" s="4">
        <v>41424.616666666669</v>
      </c>
      <c r="J14" s="4">
        <v>34266.245833333334</v>
      </c>
      <c r="K14" s="4">
        <v>22920.400000000001</v>
      </c>
      <c r="L14" s="4">
        <v>35351.757575757576</v>
      </c>
      <c r="M14" s="4">
        <v>39154.173376623381</v>
      </c>
      <c r="N14" s="4">
        <v>64106.536066306566</v>
      </c>
      <c r="O14" s="4">
        <v>31219.946130952383</v>
      </c>
      <c r="P14" s="4">
        <v>38964.164952380946</v>
      </c>
      <c r="Q14" s="4">
        <v>43000.91393398268</v>
      </c>
      <c r="R14" s="4">
        <v>23184.281275221951</v>
      </c>
      <c r="S14" s="4">
        <v>36220.747597088899</v>
      </c>
      <c r="T14" s="4">
        <v>38600.83285714285</v>
      </c>
      <c r="U14" s="4">
        <v>30729.661126091421</v>
      </c>
      <c r="V14" s="4">
        <v>35412.879166666666</v>
      </c>
      <c r="W14" s="9">
        <v>0</v>
      </c>
      <c r="X14" s="2">
        <v>24270.903115630586</v>
      </c>
      <c r="Y14" s="2">
        <v>20165.116578195815</v>
      </c>
      <c r="Z14" s="9">
        <v>0</v>
      </c>
    </row>
    <row r="15" spans="1:26">
      <c r="A15" t="s">
        <v>11</v>
      </c>
      <c r="B15" s="4">
        <v>43011.597937938997</v>
      </c>
      <c r="C15" s="4">
        <v>7799.6379310344828</v>
      </c>
      <c r="D15" s="9">
        <v>0</v>
      </c>
      <c r="E15" s="4">
        <v>30970.080459770117</v>
      </c>
      <c r="F15" s="4">
        <v>28170.681034482761</v>
      </c>
      <c r="G15" s="4">
        <v>63010.129310344826</v>
      </c>
      <c r="H15" s="4">
        <v>29141.413793103449</v>
      </c>
      <c r="I15" s="4">
        <v>39791.775862068964</v>
      </c>
      <c r="J15" s="4">
        <v>33998.495689655174</v>
      </c>
      <c r="K15" s="4">
        <v>22119.189655172413</v>
      </c>
      <c r="L15" s="4">
        <v>38338.801724137928</v>
      </c>
      <c r="M15" s="4">
        <v>39653.637174833639</v>
      </c>
      <c r="N15" s="4">
        <v>62247.426214242507</v>
      </c>
      <c r="O15" s="4">
        <v>30482.616213527854</v>
      </c>
      <c r="P15" s="4">
        <v>37202.36188527746</v>
      </c>
      <c r="Q15" s="4">
        <v>41849.258620689652</v>
      </c>
      <c r="R15" s="4">
        <v>22835.996921182264</v>
      </c>
      <c r="S15" s="4">
        <v>34881.885922442816</v>
      </c>
      <c r="T15" s="4">
        <v>37145.45402298851</v>
      </c>
      <c r="U15" s="4">
        <v>31966.568114091104</v>
      </c>
      <c r="V15" s="4">
        <v>34753.074939503931</v>
      </c>
      <c r="W15" s="9">
        <v>0</v>
      </c>
      <c r="X15" s="2">
        <v>24188.876478427454</v>
      </c>
      <c r="Y15" s="2">
        <v>20314.433055034802</v>
      </c>
      <c r="Z15" s="9">
        <v>0</v>
      </c>
    </row>
    <row r="16" spans="1:26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  <row r="31" spans="2:2">
      <c r="B31" s="2"/>
    </row>
    <row r="32" spans="2:2">
      <c r="B32" s="2"/>
    </row>
    <row r="33" spans="2:2">
      <c r="B33" s="2"/>
    </row>
    <row r="34" spans="2:2">
      <c r="B34" s="2"/>
    </row>
    <row r="35" spans="2:2">
      <c r="B35" s="2"/>
    </row>
    <row r="36" spans="2:2">
      <c r="B36" s="2"/>
    </row>
    <row r="37" spans="2:2">
      <c r="B37" s="2"/>
    </row>
    <row r="38" spans="2:2">
      <c r="B38" s="2"/>
    </row>
    <row r="39" spans="2:2">
      <c r="B39" s="2"/>
    </row>
    <row r="40" spans="2:2">
      <c r="B40" s="2"/>
    </row>
    <row r="41" spans="2:2">
      <c r="B41" s="2"/>
    </row>
    <row r="42" spans="2:2">
      <c r="B42" s="2"/>
    </row>
    <row r="43" spans="2:2">
      <c r="B43" s="2"/>
    </row>
    <row r="44" spans="2:2">
      <c r="B44" s="2"/>
    </row>
    <row r="45" spans="2:2">
      <c r="B45" s="2"/>
    </row>
    <row r="46" spans="2:2">
      <c r="B46" s="2"/>
    </row>
    <row r="47" spans="2:2">
      <c r="B47" s="2"/>
    </row>
    <row r="48" spans="2:2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  <row r="94" spans="2:2">
      <c r="B94" s="2"/>
    </row>
    <row r="95" spans="2:2">
      <c r="B95" s="2"/>
    </row>
    <row r="96" spans="2:2">
      <c r="B96" s="2"/>
    </row>
    <row r="97" spans="2:2">
      <c r="B97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41DE-3790-4209-8BE0-FDE086D1CBA8}">
  <sheetPr codeName="Sheet2"/>
  <dimension ref="A2:Z27"/>
  <sheetViews>
    <sheetView zoomScale="85" zoomScaleNormal="85" workbookViewId="0">
      <selection activeCell="A21" sqref="A21"/>
    </sheetView>
  </sheetViews>
  <sheetFormatPr baseColWidth="10" defaultColWidth="11.1640625" defaultRowHeight="17"/>
  <sheetData>
    <row r="2" spans="1:26">
      <c r="B2" t="s">
        <v>12</v>
      </c>
    </row>
    <row r="3" spans="1:26">
      <c r="A3" s="5"/>
      <c r="B3" s="7" t="s">
        <v>15</v>
      </c>
      <c r="C3" s="7" t="s">
        <v>16</v>
      </c>
      <c r="D3" s="7" t="s">
        <v>17</v>
      </c>
      <c r="E3" s="7" t="s">
        <v>18</v>
      </c>
      <c r="F3" s="7" t="s">
        <v>19</v>
      </c>
      <c r="G3" s="7" t="s">
        <v>20</v>
      </c>
      <c r="H3" s="7" t="s">
        <v>21</v>
      </c>
      <c r="I3" s="7" t="s">
        <v>22</v>
      </c>
      <c r="J3" s="7" t="s">
        <v>23</v>
      </c>
      <c r="K3" s="7" t="s">
        <v>24</v>
      </c>
      <c r="L3" s="7" t="s">
        <v>25</v>
      </c>
      <c r="M3" s="7" t="s">
        <v>26</v>
      </c>
      <c r="N3" s="7" t="s">
        <v>27</v>
      </c>
      <c r="O3" s="7" t="s">
        <v>28</v>
      </c>
      <c r="P3" s="7" t="s">
        <v>29</v>
      </c>
      <c r="Q3" s="7" t="s">
        <v>30</v>
      </c>
      <c r="R3" s="7" t="s">
        <v>31</v>
      </c>
      <c r="S3" s="7" t="s">
        <v>32</v>
      </c>
      <c r="T3" s="7" t="s">
        <v>33</v>
      </c>
      <c r="U3" s="7" t="s">
        <v>34</v>
      </c>
      <c r="V3" s="7" t="s">
        <v>35</v>
      </c>
      <c r="W3" s="7" t="s">
        <v>36</v>
      </c>
      <c r="X3" s="7" t="s">
        <v>13</v>
      </c>
      <c r="Y3" s="7" t="s">
        <v>14</v>
      </c>
      <c r="Z3" s="7" t="s">
        <v>37</v>
      </c>
    </row>
    <row r="4" spans="1:26">
      <c r="A4" s="5" t="s">
        <v>0</v>
      </c>
      <c r="B4" s="8">
        <v>43124.481564171831</v>
      </c>
      <c r="C4" s="8">
        <v>7586.9677419354839</v>
      </c>
      <c r="D4" s="9">
        <v>0</v>
      </c>
      <c r="E4" s="8">
        <v>30562.833333333332</v>
      </c>
      <c r="F4" s="8">
        <v>27500.666666666668</v>
      </c>
      <c r="G4" s="8">
        <v>62637.540322580651</v>
      </c>
      <c r="H4" s="8">
        <v>29158.855014983255</v>
      </c>
      <c r="I4" s="8">
        <v>39454.5</v>
      </c>
      <c r="J4" s="8">
        <v>33610.354838709682</v>
      </c>
      <c r="K4" s="8">
        <v>22702.629032258064</v>
      </c>
      <c r="L4" s="8">
        <v>38162.612903225803</v>
      </c>
      <c r="M4" s="8">
        <v>39148.92177419355</v>
      </c>
      <c r="N4" s="8">
        <v>59324.369451789185</v>
      </c>
      <c r="O4" s="8">
        <v>30612.137096774197</v>
      </c>
      <c r="P4" s="8">
        <v>36703.320716845876</v>
      </c>
      <c r="Q4" s="8">
        <v>41332.838709677417</v>
      </c>
      <c r="R4" s="8">
        <v>22844.198924731183</v>
      </c>
      <c r="S4" s="8">
        <v>34391.691935483876</v>
      </c>
      <c r="T4" s="8">
        <v>37960.607526881715</v>
      </c>
      <c r="U4" s="8">
        <v>32393.256093189964</v>
      </c>
      <c r="V4" s="8">
        <v>33993.979838709674</v>
      </c>
      <c r="W4" s="9">
        <v>0</v>
      </c>
      <c r="X4" s="8">
        <v>23919.017921146951</v>
      </c>
      <c r="Y4" s="8">
        <v>20289.943273807101</v>
      </c>
      <c r="Z4" s="9">
        <v>0</v>
      </c>
    </row>
    <row r="5" spans="1:26">
      <c r="A5" s="5" t="s">
        <v>1</v>
      </c>
      <c r="B5" s="10">
        <v>41903.543367346938</v>
      </c>
      <c r="C5" s="10">
        <v>7368.4821428571431</v>
      </c>
      <c r="D5" s="9">
        <v>0</v>
      </c>
      <c r="E5" s="10">
        <v>29719.089285714286</v>
      </c>
      <c r="F5" s="10">
        <v>27313.758928571428</v>
      </c>
      <c r="G5" s="10">
        <v>59703.25</v>
      </c>
      <c r="H5" s="10">
        <v>28373.895502645504</v>
      </c>
      <c r="I5" s="10">
        <v>38171.553571428572</v>
      </c>
      <c r="J5" s="10">
        <v>32909.598214285717</v>
      </c>
      <c r="K5" s="10">
        <v>22277.410714285714</v>
      </c>
      <c r="L5" s="10">
        <v>36919.72321428571</v>
      </c>
      <c r="M5" s="10">
        <v>38901.544642857145</v>
      </c>
      <c r="N5" s="10">
        <v>57135.146428571432</v>
      </c>
      <c r="O5" s="10">
        <v>29556.84821428571</v>
      </c>
      <c r="P5" s="10">
        <v>35762.946428571428</v>
      </c>
      <c r="Q5" s="10">
        <v>39931.125</v>
      </c>
      <c r="R5" s="10">
        <v>22210.779761904763</v>
      </c>
      <c r="S5" s="10">
        <v>33523.852472527469</v>
      </c>
      <c r="T5" s="10">
        <v>37096.809523809527</v>
      </c>
      <c r="U5" s="10">
        <v>31792.738095238095</v>
      </c>
      <c r="V5" s="10">
        <v>32883.142857142855</v>
      </c>
      <c r="W5" s="9">
        <v>0</v>
      </c>
      <c r="X5" s="10">
        <v>22864.908730158731</v>
      </c>
      <c r="Y5" s="10">
        <v>19084.297161172159</v>
      </c>
      <c r="Z5" s="9">
        <v>0</v>
      </c>
    </row>
    <row r="6" spans="1:26">
      <c r="A6" s="5" t="s">
        <v>2</v>
      </c>
      <c r="B6" s="8">
        <v>43953.813364055299</v>
      </c>
      <c r="C6" s="8">
        <v>7662.5806451612907</v>
      </c>
      <c r="D6" s="9">
        <v>0</v>
      </c>
      <c r="E6" s="8">
        <v>31038.010752688173</v>
      </c>
      <c r="F6" s="8">
        <v>28241.556451612905</v>
      </c>
      <c r="G6" s="8">
        <v>63470.153225806454</v>
      </c>
      <c r="H6" s="8">
        <v>29675.698924731183</v>
      </c>
      <c r="I6" s="8">
        <v>40026.209677419356</v>
      </c>
      <c r="J6" s="8">
        <v>33989.274193548386</v>
      </c>
      <c r="K6" s="8">
        <v>22662.564516129034</v>
      </c>
      <c r="L6" s="8">
        <v>38429.693548387098</v>
      </c>
      <c r="M6" s="8">
        <v>40409.080645161288</v>
      </c>
      <c r="N6" s="8">
        <v>59749.961290322572</v>
      </c>
      <c r="O6" s="8">
        <v>31071.721774193546</v>
      </c>
      <c r="P6" s="8">
        <v>38012.264516129027</v>
      </c>
      <c r="Q6" s="8">
        <v>42555.641129032265</v>
      </c>
      <c r="R6" s="8">
        <v>22702.31182795699</v>
      </c>
      <c r="S6" s="8">
        <v>35106.65585911784</v>
      </c>
      <c r="T6" s="8">
        <v>38274.553763440861</v>
      </c>
      <c r="U6" s="8">
        <v>32888.879032258068</v>
      </c>
      <c r="V6" s="8">
        <v>34556.870407706097</v>
      </c>
      <c r="W6" s="9">
        <v>0</v>
      </c>
      <c r="X6" s="8">
        <v>23497.536049076371</v>
      </c>
      <c r="Y6" s="8">
        <v>20178.057951821571</v>
      </c>
      <c r="Z6" s="9">
        <v>0</v>
      </c>
    </row>
    <row r="7" spans="1:26">
      <c r="A7" s="5" t="s">
        <v>3</v>
      </c>
      <c r="B7" s="8">
        <v>44633.626190476192</v>
      </c>
      <c r="C7" s="8">
        <v>7869.7833333333338</v>
      </c>
      <c r="D7" s="9">
        <v>0</v>
      </c>
      <c r="E7" s="8">
        <v>32085.320987654322</v>
      </c>
      <c r="F7" s="8">
        <v>29072.383333333335</v>
      </c>
      <c r="G7" s="8">
        <v>64570.675000000003</v>
      </c>
      <c r="H7" s="8">
        <v>29541.416666666668</v>
      </c>
      <c r="I7" s="8">
        <v>40619.533333333333</v>
      </c>
      <c r="J7" s="8">
        <v>34385.125</v>
      </c>
      <c r="K7" s="8">
        <v>22600.283333333333</v>
      </c>
      <c r="L7" s="8">
        <v>39304.841666666667</v>
      </c>
      <c r="M7" s="8">
        <v>40806.65</v>
      </c>
      <c r="N7" s="8">
        <v>60701.96</v>
      </c>
      <c r="O7" s="8">
        <v>31834.924999999999</v>
      </c>
      <c r="P7" s="8">
        <v>38760.597161503989</v>
      </c>
      <c r="Q7" s="8">
        <v>43300.30231481482</v>
      </c>
      <c r="R7" s="8">
        <v>23555.210784313724</v>
      </c>
      <c r="S7" s="8">
        <v>37242.820744680852</v>
      </c>
      <c r="T7" s="8">
        <v>39036.227654320995</v>
      </c>
      <c r="U7" s="8">
        <v>34434.052777777782</v>
      </c>
      <c r="V7" s="8">
        <v>35029.482062146897</v>
      </c>
      <c r="W7" s="9">
        <v>0</v>
      </c>
      <c r="X7" s="8">
        <v>24090.415177093677</v>
      </c>
      <c r="Y7" s="8">
        <v>20733.678774928772</v>
      </c>
      <c r="Z7" s="9">
        <v>0</v>
      </c>
    </row>
    <row r="8" spans="1:26">
      <c r="A8" s="5" t="s">
        <v>4</v>
      </c>
      <c r="B8" s="8">
        <v>44458.210168467172</v>
      </c>
      <c r="C8" s="8">
        <v>7520.3387096774195</v>
      </c>
      <c r="D8" s="9">
        <v>0</v>
      </c>
      <c r="E8" s="8">
        <v>32993.860215053763</v>
      </c>
      <c r="F8" s="8">
        <v>27260.333733699383</v>
      </c>
      <c r="G8" s="8">
        <v>63922.862903225803</v>
      </c>
      <c r="H8" s="8">
        <v>29264.295385887173</v>
      </c>
      <c r="I8" s="8">
        <v>39832.145161290326</v>
      </c>
      <c r="J8" s="8">
        <v>34438.146867245661</v>
      </c>
      <c r="K8" s="8">
        <v>22842.451612903227</v>
      </c>
      <c r="L8" s="8">
        <v>39093.233870967742</v>
      </c>
      <c r="M8" s="8">
        <v>40717.346774193546</v>
      </c>
      <c r="N8" s="8">
        <v>60526.527956989245</v>
      </c>
      <c r="O8" s="8">
        <v>31459.334677419352</v>
      </c>
      <c r="P8" s="8">
        <v>38195.113638936047</v>
      </c>
      <c r="Q8" s="8">
        <v>44861.524193548386</v>
      </c>
      <c r="R8" s="8">
        <v>23576.139784946237</v>
      </c>
      <c r="S8" s="8">
        <v>35944.288949897047</v>
      </c>
      <c r="T8" s="8">
        <v>41016.452853598013</v>
      </c>
      <c r="U8" s="8">
        <v>33518.494623655912</v>
      </c>
      <c r="V8" s="8">
        <v>34435.963709677424</v>
      </c>
      <c r="W8" s="9">
        <v>0</v>
      </c>
      <c r="X8" s="8">
        <v>23801.875257065632</v>
      </c>
      <c r="Y8" s="8">
        <v>20420.203096063393</v>
      </c>
      <c r="Z8" s="9">
        <v>0</v>
      </c>
    </row>
    <row r="9" spans="1:26">
      <c r="A9" s="5" t="s">
        <v>5</v>
      </c>
      <c r="B9" s="8">
        <v>44069.11258503401</v>
      </c>
      <c r="C9" s="8">
        <v>7592.9</v>
      </c>
      <c r="D9" s="9">
        <v>0</v>
      </c>
      <c r="E9" s="8">
        <v>30703.730272108845</v>
      </c>
      <c r="F9" s="8">
        <v>28647.95</v>
      </c>
      <c r="G9" s="8">
        <v>63127.516666666663</v>
      </c>
      <c r="H9" s="8">
        <v>29185.727777777774</v>
      </c>
      <c r="I9" s="8">
        <v>39807.116666666669</v>
      </c>
      <c r="J9" s="8">
        <v>33179.505147058822</v>
      </c>
      <c r="K9" s="8">
        <v>22684.416666666668</v>
      </c>
      <c r="L9" s="8">
        <v>38447.324999999997</v>
      </c>
      <c r="M9" s="8">
        <v>40716.574999999997</v>
      </c>
      <c r="N9" s="8">
        <v>59390.743728813562</v>
      </c>
      <c r="O9" s="8">
        <v>31048.170833333334</v>
      </c>
      <c r="P9" s="8">
        <v>37630.479119496857</v>
      </c>
      <c r="Q9" s="8">
        <v>42729.524822695035</v>
      </c>
      <c r="R9" s="8">
        <v>23304.773856209154</v>
      </c>
      <c r="S9" s="8">
        <v>35389.216896551719</v>
      </c>
      <c r="T9" s="8">
        <v>41376.062037037038</v>
      </c>
      <c r="U9" s="8">
        <v>32528.639181286548</v>
      </c>
      <c r="V9" s="8">
        <v>30763.066666666666</v>
      </c>
      <c r="W9" s="9">
        <v>0</v>
      </c>
      <c r="X9" s="8">
        <v>23351.49958114163</v>
      </c>
      <c r="Y9" s="8">
        <v>19912.945115396051</v>
      </c>
      <c r="Z9" s="9">
        <v>0</v>
      </c>
    </row>
    <row r="10" spans="1:26">
      <c r="A10" s="5" t="s">
        <v>6</v>
      </c>
      <c r="B10" s="8">
        <v>42995.21129925338</v>
      </c>
      <c r="C10" s="8">
        <v>7842.6451612903229</v>
      </c>
      <c r="D10" s="9">
        <v>0</v>
      </c>
      <c r="E10" s="8">
        <v>30981.85872797987</v>
      </c>
      <c r="F10" s="8">
        <v>28544.129032258064</v>
      </c>
      <c r="G10" s="8">
        <v>62020.580645161288</v>
      </c>
      <c r="H10" s="8">
        <v>29215.539673711533</v>
      </c>
      <c r="I10" s="8">
        <v>39876.241379310348</v>
      </c>
      <c r="J10" s="8">
        <v>33581.932971972499</v>
      </c>
      <c r="K10" s="8">
        <v>22802.177419354837</v>
      </c>
      <c r="L10" s="8">
        <v>38447.870967741939</v>
      </c>
      <c r="M10" s="8">
        <v>40614.612903225803</v>
      </c>
      <c r="N10" s="8">
        <v>59034.958105337377</v>
      </c>
      <c r="O10" s="8">
        <v>30968.338709677417</v>
      </c>
      <c r="P10" s="8">
        <v>37339.427868852465</v>
      </c>
      <c r="Q10" s="8">
        <v>42047.549193548388</v>
      </c>
      <c r="R10" s="8">
        <v>23300.353418543313</v>
      </c>
      <c r="S10" s="8">
        <v>34481.540013726837</v>
      </c>
      <c r="T10" s="8">
        <v>36473.200000000004</v>
      </c>
      <c r="U10" s="8">
        <v>32923.705805426347</v>
      </c>
      <c r="V10" s="8">
        <v>34156.898617511521</v>
      </c>
      <c r="W10" s="9">
        <v>0</v>
      </c>
      <c r="X10" s="8">
        <v>23564.127340455387</v>
      </c>
      <c r="Y10" s="8">
        <v>19957.904978856859</v>
      </c>
      <c r="Z10" s="9">
        <v>0</v>
      </c>
    </row>
    <row r="11" spans="1:26">
      <c r="A11" s="5" t="s">
        <v>7</v>
      </c>
      <c r="B11" s="8">
        <v>45860.727688172046</v>
      </c>
      <c r="C11" s="8">
        <v>7728.0322580645161</v>
      </c>
      <c r="D11" s="9">
        <v>0</v>
      </c>
      <c r="E11" s="8">
        <v>32339.715053763441</v>
      </c>
      <c r="F11" s="8">
        <v>28454.290322580644</v>
      </c>
      <c r="G11" s="8">
        <v>62518.532258064515</v>
      </c>
      <c r="H11" s="8">
        <v>29238.306451612905</v>
      </c>
      <c r="I11" s="8">
        <v>40431.774193548386</v>
      </c>
      <c r="J11" s="8">
        <v>33845.229838709682</v>
      </c>
      <c r="K11" s="8">
        <v>22726.370967741936</v>
      </c>
      <c r="L11" s="8">
        <v>38259.887096774197</v>
      </c>
      <c r="M11" s="8">
        <v>40626.767451084081</v>
      </c>
      <c r="N11" s="8">
        <v>59619.064650537635</v>
      </c>
      <c r="O11" s="8">
        <v>30882.814516129027</v>
      </c>
      <c r="P11" s="8">
        <v>37424.886726599681</v>
      </c>
      <c r="Q11" s="8">
        <v>42345.007337387629</v>
      </c>
      <c r="R11" s="8">
        <v>23007.599963550208</v>
      </c>
      <c r="S11" s="8">
        <v>35110.250478866583</v>
      </c>
      <c r="T11" s="8">
        <v>36549.083333333336</v>
      </c>
      <c r="U11" s="8">
        <v>32986.990156460837</v>
      </c>
      <c r="V11" s="8">
        <v>35062.271906846887</v>
      </c>
      <c r="W11" s="9">
        <v>0</v>
      </c>
      <c r="X11" s="8">
        <v>23472.447772657451</v>
      </c>
      <c r="Y11" s="8">
        <v>19791.435130460937</v>
      </c>
      <c r="Z11" s="9">
        <v>0</v>
      </c>
    </row>
    <row r="12" spans="1:26">
      <c r="A12" s="5" t="s">
        <v>8</v>
      </c>
      <c r="B12" s="8">
        <v>44545.667251461993</v>
      </c>
      <c r="C12" s="8">
        <v>7267.2203389830511</v>
      </c>
      <c r="D12" s="9">
        <v>0</v>
      </c>
      <c r="E12" s="8">
        <v>31286.5037037037</v>
      </c>
      <c r="F12" s="8">
        <v>27871.3</v>
      </c>
      <c r="G12" s="8">
        <v>61099.091666666667</v>
      </c>
      <c r="H12" s="8">
        <v>28411.305555555558</v>
      </c>
      <c r="I12" s="8">
        <v>39202.883333333331</v>
      </c>
      <c r="J12" s="8">
        <v>32955.279166666667</v>
      </c>
      <c r="K12" s="8">
        <v>22533.266666666666</v>
      </c>
      <c r="L12" s="8">
        <v>36267.800000000003</v>
      </c>
      <c r="M12" s="8">
        <v>39864.708333333328</v>
      </c>
      <c r="N12" s="8">
        <v>57239.108749437706</v>
      </c>
      <c r="O12" s="8">
        <v>30483.983333333337</v>
      </c>
      <c r="P12" s="8">
        <v>36301.830980392158</v>
      </c>
      <c r="Q12" s="8">
        <v>39869.392261904766</v>
      </c>
      <c r="R12" s="8">
        <v>22858.805555555558</v>
      </c>
      <c r="S12" s="8">
        <v>34502.247973596939</v>
      </c>
      <c r="T12" s="8">
        <v>36879.567948717944</v>
      </c>
      <c r="U12" s="8">
        <v>32729.550738993712</v>
      </c>
      <c r="V12" s="8">
        <v>33874.134400656818</v>
      </c>
      <c r="W12" s="9">
        <v>0</v>
      </c>
      <c r="X12" s="8">
        <v>23254.573512187402</v>
      </c>
      <c r="Y12" s="8">
        <v>19883.807726094288</v>
      </c>
      <c r="Z12" s="9">
        <v>0</v>
      </c>
    </row>
    <row r="13" spans="1:26">
      <c r="A13" s="5" t="s">
        <v>9</v>
      </c>
      <c r="B13" s="8">
        <v>44018.899337960873</v>
      </c>
      <c r="C13" s="8">
        <v>8039.3064516129034</v>
      </c>
      <c r="D13" s="9">
        <v>0</v>
      </c>
      <c r="E13" s="8">
        <v>32187.468743489895</v>
      </c>
      <c r="F13" s="8">
        <v>28308.985457429932</v>
      </c>
      <c r="G13" s="8">
        <v>63608.558170280274</v>
      </c>
      <c r="H13" s="8">
        <v>29364.806451612905</v>
      </c>
      <c r="I13" s="8">
        <v>40102.43548387097</v>
      </c>
      <c r="J13" s="8">
        <v>33636.129032258061</v>
      </c>
      <c r="K13" s="8">
        <v>22708.16129032258</v>
      </c>
      <c r="L13" s="8">
        <v>36784.548387096773</v>
      </c>
      <c r="M13" s="8">
        <v>39964.451612903227</v>
      </c>
      <c r="N13" s="8">
        <v>65595.671012914434</v>
      </c>
      <c r="O13" s="8">
        <v>31232.68951612903</v>
      </c>
      <c r="P13" s="8">
        <v>37471.547385984428</v>
      </c>
      <c r="Q13" s="8">
        <v>41998.845378411912</v>
      </c>
      <c r="R13" s="8">
        <v>23213.940860215051</v>
      </c>
      <c r="S13" s="8">
        <v>35648.054704301074</v>
      </c>
      <c r="T13" s="8">
        <v>38663.645161290326</v>
      </c>
      <c r="U13" s="8">
        <v>33213.340135814593</v>
      </c>
      <c r="V13" s="8">
        <v>34792.494021134597</v>
      </c>
      <c r="W13" s="9">
        <v>0</v>
      </c>
      <c r="X13" s="8">
        <v>23892.038418826018</v>
      </c>
      <c r="Y13" s="8">
        <v>20354.466824714676</v>
      </c>
      <c r="Z13" s="9">
        <v>0</v>
      </c>
    </row>
    <row r="14" spans="1:26">
      <c r="A14" s="5" t="s">
        <v>10</v>
      </c>
      <c r="B14" s="8">
        <v>44440.844127142387</v>
      </c>
      <c r="C14" s="8">
        <v>8188.75</v>
      </c>
      <c r="D14" s="9">
        <v>0</v>
      </c>
      <c r="E14" s="8">
        <v>32687.98421052632</v>
      </c>
      <c r="F14" s="8">
        <v>28424.566666666666</v>
      </c>
      <c r="G14" s="8">
        <v>64184.366666666669</v>
      </c>
      <c r="H14" s="8">
        <v>29605.81111111111</v>
      </c>
      <c r="I14" s="8">
        <v>40419.300000000003</v>
      </c>
      <c r="J14" s="8">
        <v>34318.949999999997</v>
      </c>
      <c r="K14" s="8">
        <v>22937.55</v>
      </c>
      <c r="L14" s="8">
        <v>38117.841666666667</v>
      </c>
      <c r="M14" s="8">
        <v>40680.241666666669</v>
      </c>
      <c r="N14" s="8">
        <v>66499.040350877185</v>
      </c>
      <c r="O14" s="8">
        <v>31652.866666666669</v>
      </c>
      <c r="P14" s="8">
        <v>37813.42</v>
      </c>
      <c r="Q14" s="8">
        <v>40501.931730769233</v>
      </c>
      <c r="R14" s="8">
        <v>23374.005555555555</v>
      </c>
      <c r="S14" s="8">
        <v>36186.607619047616</v>
      </c>
      <c r="T14" s="8">
        <v>38932.730808080807</v>
      </c>
      <c r="U14" s="8">
        <v>33561.849296590532</v>
      </c>
      <c r="V14" s="8">
        <v>35318.658145453577</v>
      </c>
      <c r="W14" s="9">
        <v>0</v>
      </c>
      <c r="X14" s="8">
        <v>24754.372643097639</v>
      </c>
      <c r="Y14" s="8">
        <v>20809.649740836503</v>
      </c>
      <c r="Z14" s="9">
        <v>0</v>
      </c>
    </row>
    <row r="15" spans="1:26">
      <c r="A15" s="5" t="s">
        <v>11</v>
      </c>
      <c r="B15" s="8">
        <v>43175.656682027657</v>
      </c>
      <c r="C15" s="8">
        <v>7751.2258064516127</v>
      </c>
      <c r="D15" s="9">
        <v>0</v>
      </c>
      <c r="E15" s="8">
        <v>31270.135109864419</v>
      </c>
      <c r="F15" s="8">
        <v>27850.604838709674</v>
      </c>
      <c r="G15" s="8">
        <v>61891.725806451614</v>
      </c>
      <c r="H15" s="8">
        <v>28998.244760342626</v>
      </c>
      <c r="I15" s="8">
        <v>39057.310344827587</v>
      </c>
      <c r="J15" s="8">
        <v>33531.915322580644</v>
      </c>
      <c r="K15" s="8">
        <v>22732.322580645163</v>
      </c>
      <c r="L15" s="8">
        <v>36870.137096774197</v>
      </c>
      <c r="M15" s="8">
        <v>40013.943548387098</v>
      </c>
      <c r="N15" s="8">
        <v>58551.128692699494</v>
      </c>
      <c r="O15" s="8">
        <v>30887.323924731183</v>
      </c>
      <c r="P15" s="8">
        <v>37081.112903225803</v>
      </c>
      <c r="Q15" s="8">
        <v>41172.822580645159</v>
      </c>
      <c r="R15" s="8">
        <v>22890.710872162486</v>
      </c>
      <c r="S15" s="8">
        <v>35133.812569521695</v>
      </c>
      <c r="T15" s="8">
        <v>36410.829723502306</v>
      </c>
      <c r="U15" s="8">
        <v>32381.260752688173</v>
      </c>
      <c r="V15" s="8">
        <v>34130.745967741932</v>
      </c>
      <c r="W15" s="9">
        <v>0</v>
      </c>
      <c r="X15" s="8">
        <v>24012.269182808759</v>
      </c>
      <c r="Y15" s="8">
        <v>19555.396726443858</v>
      </c>
      <c r="Z15" s="9">
        <v>0</v>
      </c>
    </row>
    <row r="16" spans="1:26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8F805-4AB0-4243-955C-AFC5ACB5ACAD}">
  <sheetPr codeName="Sheet3"/>
  <dimension ref="A2:CV27"/>
  <sheetViews>
    <sheetView tabSelected="1" zoomScale="85" zoomScaleNormal="85" workbookViewId="0">
      <selection activeCell="J12" sqref="J12"/>
    </sheetView>
  </sheetViews>
  <sheetFormatPr baseColWidth="10" defaultColWidth="11.1640625" defaultRowHeight="17"/>
  <sheetData>
    <row r="2" spans="1:100">
      <c r="B2" t="s">
        <v>12</v>
      </c>
    </row>
    <row r="3" spans="1:100">
      <c r="A3" s="5"/>
      <c r="B3" s="7" t="s">
        <v>15</v>
      </c>
      <c r="C3" s="7" t="s">
        <v>16</v>
      </c>
      <c r="D3" s="7" t="s">
        <v>17</v>
      </c>
      <c r="E3" s="7" t="s">
        <v>18</v>
      </c>
      <c r="F3" s="7" t="s">
        <v>19</v>
      </c>
      <c r="G3" s="7" t="s">
        <v>20</v>
      </c>
      <c r="H3" s="7" t="s">
        <v>21</v>
      </c>
      <c r="I3" s="7" t="s">
        <v>22</v>
      </c>
      <c r="J3" s="7" t="s">
        <v>23</v>
      </c>
      <c r="K3" s="7" t="s">
        <v>24</v>
      </c>
      <c r="L3" s="7" t="s">
        <v>25</v>
      </c>
      <c r="M3" s="7" t="s">
        <v>26</v>
      </c>
      <c r="N3" s="7" t="s">
        <v>27</v>
      </c>
      <c r="O3" s="7" t="s">
        <v>28</v>
      </c>
      <c r="P3" s="7" t="s">
        <v>29</v>
      </c>
      <c r="Q3" s="7" t="s">
        <v>30</v>
      </c>
      <c r="R3" s="7" t="s">
        <v>31</v>
      </c>
      <c r="S3" s="7" t="s">
        <v>32</v>
      </c>
      <c r="T3" s="7" t="s">
        <v>33</v>
      </c>
      <c r="U3" s="7" t="s">
        <v>34</v>
      </c>
      <c r="V3" s="7" t="s">
        <v>35</v>
      </c>
      <c r="W3" s="7" t="s">
        <v>36</v>
      </c>
      <c r="X3" s="7" t="s">
        <v>13</v>
      </c>
      <c r="Y3" s="7" t="s">
        <v>14</v>
      </c>
      <c r="Z3" s="7" t="s">
        <v>37</v>
      </c>
    </row>
    <row r="4" spans="1:100">
      <c r="A4" s="5" t="s">
        <v>0</v>
      </c>
      <c r="B4" s="8">
        <v>41355.718894009224</v>
      </c>
      <c r="C4" s="8">
        <v>7281.1451612903229</v>
      </c>
      <c r="D4" s="9">
        <v>0</v>
      </c>
      <c r="E4" s="8">
        <v>29756.873051454953</v>
      </c>
      <c r="F4" s="8">
        <v>26972.137096774197</v>
      </c>
      <c r="G4" s="8">
        <v>59723.419354838712</v>
      </c>
      <c r="H4" s="8">
        <v>27639.676651305683</v>
      </c>
      <c r="I4" s="8">
        <v>36559.229508196724</v>
      </c>
      <c r="J4" s="8">
        <v>32481.371106785315</v>
      </c>
      <c r="K4" s="8">
        <v>21905.33870967742</v>
      </c>
      <c r="L4" s="8">
        <v>35108.129032258061</v>
      </c>
      <c r="M4" s="8">
        <v>38518.870967741939</v>
      </c>
      <c r="N4" s="8">
        <v>56408.922580645165</v>
      </c>
      <c r="O4" s="8">
        <v>29332.21370967742</v>
      </c>
      <c r="P4" s="8">
        <v>35387.738709677418</v>
      </c>
      <c r="Q4" s="8">
        <v>39060.096774193546</v>
      </c>
      <c r="R4" s="8">
        <v>22155.693548387095</v>
      </c>
      <c r="S4" s="8">
        <v>33103.708243727597</v>
      </c>
      <c r="T4" s="8">
        <v>36630.034891375901</v>
      </c>
      <c r="U4" s="8">
        <v>30109.840363937135</v>
      </c>
      <c r="V4" s="8">
        <v>32255.11997736276</v>
      </c>
      <c r="W4" s="9">
        <v>0</v>
      </c>
      <c r="X4" s="8">
        <v>22580.372983870966</v>
      </c>
      <c r="Y4" s="8">
        <v>18147.647254888223</v>
      </c>
      <c r="Z4" s="9">
        <v>0</v>
      </c>
    </row>
    <row r="5" spans="1:100">
      <c r="A5" s="5" t="s">
        <v>1</v>
      </c>
      <c r="B5" s="8">
        <v>41021.083743842362</v>
      </c>
      <c r="C5" s="8">
        <v>7143.1206896551721</v>
      </c>
      <c r="D5" s="9">
        <v>0</v>
      </c>
      <c r="E5" s="8">
        <v>28544.66665546369</v>
      </c>
      <c r="F5" s="8">
        <v>27169.948275862069</v>
      </c>
      <c r="G5" s="8">
        <v>59320.663793103449</v>
      </c>
      <c r="H5" s="8">
        <v>27468.028735632182</v>
      </c>
      <c r="I5" s="8">
        <v>36679.310344827587</v>
      </c>
      <c r="J5" s="8">
        <v>32165.172413793101</v>
      </c>
      <c r="K5" s="8">
        <v>21635.862068965518</v>
      </c>
      <c r="L5" s="8">
        <v>34887.561034482758</v>
      </c>
      <c r="M5" s="8">
        <v>36905.413793103449</v>
      </c>
      <c r="N5" s="8">
        <v>54909.201174687383</v>
      </c>
      <c r="O5" s="8">
        <v>28704.75</v>
      </c>
      <c r="P5" s="8">
        <v>35010.717241379309</v>
      </c>
      <c r="Q5" s="8">
        <v>38981.038793103449</v>
      </c>
      <c r="R5" s="8">
        <v>21546.481839080461</v>
      </c>
      <c r="S5" s="8">
        <v>32427.224137931036</v>
      </c>
      <c r="T5" s="8">
        <v>35550.614942528737</v>
      </c>
      <c r="U5" s="8">
        <v>30308.150595998293</v>
      </c>
      <c r="V5" s="8">
        <v>30933.017957069394</v>
      </c>
      <c r="W5" s="9">
        <v>0</v>
      </c>
      <c r="X5" s="8">
        <v>22154.938140020899</v>
      </c>
      <c r="Y5" s="8">
        <v>17752.350853925265</v>
      </c>
      <c r="Z5" s="9">
        <v>0</v>
      </c>
    </row>
    <row r="6" spans="1:100">
      <c r="A6" s="5" t="s">
        <v>2</v>
      </c>
      <c r="B6" s="8">
        <v>38361.550275742244</v>
      </c>
      <c r="C6" s="8">
        <v>6795.4193548387093</v>
      </c>
      <c r="D6" s="9">
        <v>0</v>
      </c>
      <c r="E6" s="8">
        <v>28423.989247311827</v>
      </c>
      <c r="F6" s="8">
        <v>26114.395161290326</v>
      </c>
      <c r="G6" s="8">
        <v>57606.129032258061</v>
      </c>
      <c r="H6" s="8">
        <v>26393.908602150535</v>
      </c>
      <c r="I6" s="8">
        <v>35457.854838709674</v>
      </c>
      <c r="J6" s="8">
        <v>31421.701612903227</v>
      </c>
      <c r="K6" s="8">
        <v>20897.16129032258</v>
      </c>
      <c r="L6" s="8">
        <v>34045.653225806454</v>
      </c>
      <c r="M6" s="8">
        <v>36653.991935483871</v>
      </c>
      <c r="N6" s="8">
        <v>54012.567741935491</v>
      </c>
      <c r="O6" s="8">
        <v>27366.048387096773</v>
      </c>
      <c r="P6" s="8">
        <v>33439.567949938311</v>
      </c>
      <c r="Q6" s="8">
        <v>38014.81451612903</v>
      </c>
      <c r="R6" s="8">
        <v>21664.323205801451</v>
      </c>
      <c r="S6" s="8">
        <v>30047.265967741936</v>
      </c>
      <c r="T6" s="8">
        <v>34271.745020922717</v>
      </c>
      <c r="U6" s="8">
        <v>29013.198924731187</v>
      </c>
      <c r="V6" s="8">
        <v>29322.223756150903</v>
      </c>
      <c r="W6" s="9">
        <v>0</v>
      </c>
      <c r="X6" s="8">
        <v>21170.541793467233</v>
      </c>
      <c r="Y6" s="8">
        <v>16404.310966928366</v>
      </c>
      <c r="Z6" s="9">
        <v>0</v>
      </c>
    </row>
    <row r="7" spans="1:100">
      <c r="A7" s="5" t="s">
        <v>3</v>
      </c>
      <c r="B7" s="8">
        <v>40010.143073593077</v>
      </c>
      <c r="C7" s="8">
        <v>8282.5499999999993</v>
      </c>
      <c r="D7" s="9">
        <v>0</v>
      </c>
      <c r="E7" s="8">
        <v>29834.05</v>
      </c>
      <c r="F7" s="8">
        <v>26976.025000000001</v>
      </c>
      <c r="G7" s="8">
        <v>60383.40833333334</v>
      </c>
      <c r="H7" s="8">
        <v>27281.055555555551</v>
      </c>
      <c r="I7" s="8">
        <v>36718.699999999997</v>
      </c>
      <c r="J7" s="8">
        <v>32469.291666666664</v>
      </c>
      <c r="K7" s="8">
        <v>21545.683333333334</v>
      </c>
      <c r="L7" s="8">
        <v>35436.800000000003</v>
      </c>
      <c r="M7" s="8">
        <v>37285.283333333333</v>
      </c>
      <c r="N7" s="8">
        <v>55024.807142857149</v>
      </c>
      <c r="O7" s="8">
        <v>27901.384722222221</v>
      </c>
      <c r="P7" s="8">
        <v>34955.96</v>
      </c>
      <c r="Q7" s="8">
        <v>39466.224999999999</v>
      </c>
      <c r="R7" s="8">
        <v>22262.944444444442</v>
      </c>
      <c r="S7" s="8">
        <v>32139.507435897434</v>
      </c>
      <c r="T7" s="8">
        <v>36303.290909090909</v>
      </c>
      <c r="U7" s="8">
        <v>29619.057886064034</v>
      </c>
      <c r="V7" s="8">
        <v>30814.963074712643</v>
      </c>
      <c r="W7" s="9">
        <v>0</v>
      </c>
      <c r="X7" s="8">
        <v>21318.712139917698</v>
      </c>
      <c r="Y7" s="8">
        <v>16985.578205128204</v>
      </c>
      <c r="Z7" s="9">
        <v>0</v>
      </c>
    </row>
    <row r="8" spans="1:100">
      <c r="A8" s="5" t="s">
        <v>4</v>
      </c>
      <c r="B8" s="8">
        <v>39996.925732279356</v>
      </c>
      <c r="C8" s="8">
        <v>9276.645161290322</v>
      </c>
      <c r="D8" s="9">
        <v>0</v>
      </c>
      <c r="E8" s="8">
        <v>30462.346866889133</v>
      </c>
      <c r="F8" s="8">
        <v>27334.879032258064</v>
      </c>
      <c r="G8" s="8">
        <v>60735.983870967742</v>
      </c>
      <c r="H8" s="8">
        <v>27419.907407407405</v>
      </c>
      <c r="I8" s="8">
        <v>37326.241935483871</v>
      </c>
      <c r="J8" s="8">
        <v>32770.205645161288</v>
      </c>
      <c r="K8" s="8">
        <v>21860.016129032258</v>
      </c>
      <c r="L8" s="8">
        <v>35675.18548387097</v>
      </c>
      <c r="M8" s="8">
        <v>38417.241935483871</v>
      </c>
      <c r="N8" s="8">
        <v>54974.477806451614</v>
      </c>
      <c r="O8" s="8">
        <v>28825.979838709674</v>
      </c>
      <c r="P8" s="8">
        <v>35326.394862604539</v>
      </c>
      <c r="Q8" s="8">
        <v>39566.153225806454</v>
      </c>
      <c r="R8" s="8">
        <v>22475.989247311827</v>
      </c>
      <c r="S8" s="8">
        <v>32501.370967741939</v>
      </c>
      <c r="T8" s="8">
        <v>34632.683051715314</v>
      </c>
      <c r="U8" s="8">
        <v>31036.006451612902</v>
      </c>
      <c r="V8" s="8">
        <v>32137.975806451614</v>
      </c>
      <c r="W8" s="9">
        <v>0</v>
      </c>
      <c r="X8" s="8">
        <v>21727.856630824375</v>
      </c>
      <c r="Y8" s="8">
        <v>17298.72952853598</v>
      </c>
      <c r="Z8" s="9">
        <v>0</v>
      </c>
    </row>
    <row r="9" spans="1:100">
      <c r="A9" s="5" t="s">
        <v>5</v>
      </c>
      <c r="B9" s="8">
        <v>41532.006184668986</v>
      </c>
      <c r="C9" s="8">
        <v>9315.4500000000007</v>
      </c>
      <c r="D9" s="9">
        <v>0</v>
      </c>
      <c r="E9" s="8">
        <v>30158.395977011493</v>
      </c>
      <c r="F9" s="8">
        <v>28079.783333333333</v>
      </c>
      <c r="G9" s="8">
        <v>62797.649999999994</v>
      </c>
      <c r="H9" s="8">
        <v>27543.611111111113</v>
      </c>
      <c r="I9" s="9">
        <v>0</v>
      </c>
      <c r="J9" s="8">
        <v>33123.133333333331</v>
      </c>
      <c r="K9" s="8">
        <v>22321.666666666668</v>
      </c>
      <c r="L9" s="8">
        <v>36932.026754385966</v>
      </c>
      <c r="M9" s="8">
        <v>39126.791666666664</v>
      </c>
      <c r="N9" s="8">
        <v>57345.608823529408</v>
      </c>
      <c r="O9" s="8">
        <v>29787.858333333334</v>
      </c>
      <c r="P9" s="8">
        <v>37066.633333333339</v>
      </c>
      <c r="Q9" s="8">
        <v>40973.45416666667</v>
      </c>
      <c r="R9" s="8">
        <v>22893.8</v>
      </c>
      <c r="S9" s="8">
        <v>33448.831702898548</v>
      </c>
      <c r="T9" s="8">
        <v>40056.503122212307</v>
      </c>
      <c r="U9" s="8">
        <v>30581.822222222221</v>
      </c>
      <c r="V9" s="8">
        <v>33592.391666666663</v>
      </c>
      <c r="W9" s="9">
        <v>0</v>
      </c>
      <c r="X9" s="8">
        <v>22539.116666666665</v>
      </c>
      <c r="Y9" s="8">
        <v>18311.169230769236</v>
      </c>
      <c r="Z9" s="9">
        <v>0</v>
      </c>
    </row>
    <row r="10" spans="1:100">
      <c r="A10" s="5" t="s">
        <v>6</v>
      </c>
      <c r="B10" s="8">
        <v>41532.406244491453</v>
      </c>
      <c r="C10" s="8">
        <v>8657.7741935483864</v>
      </c>
      <c r="D10" s="9">
        <v>0</v>
      </c>
      <c r="E10" s="8">
        <v>31328.521505376342</v>
      </c>
      <c r="F10" s="8">
        <v>26787.739247311831</v>
      </c>
      <c r="G10" s="8">
        <v>61855.31451612903</v>
      </c>
      <c r="H10" s="8">
        <v>27846.34695340502</v>
      </c>
      <c r="I10" s="8">
        <v>38728.449999999997</v>
      </c>
      <c r="J10" s="8">
        <v>33022.225806451614</v>
      </c>
      <c r="K10" s="8">
        <v>22222.193548387098</v>
      </c>
      <c r="L10" s="8">
        <v>36316.254564820447</v>
      </c>
      <c r="M10" s="8">
        <v>39175.903225806454</v>
      </c>
      <c r="N10" s="8">
        <v>56338.540706605221</v>
      </c>
      <c r="O10" s="8">
        <v>29641.000264844537</v>
      </c>
      <c r="P10" s="8">
        <v>36853.206451612903</v>
      </c>
      <c r="Q10" s="8">
        <v>40639.891129032258</v>
      </c>
      <c r="R10" s="8">
        <v>22920.456989247312</v>
      </c>
      <c r="S10" s="8">
        <v>33331.923192721253</v>
      </c>
      <c r="T10" s="8">
        <v>37934.220077560378</v>
      </c>
      <c r="U10" s="8">
        <v>31485.705453148999</v>
      </c>
      <c r="V10" s="8">
        <v>33392.835618279569</v>
      </c>
      <c r="W10" s="9">
        <v>0</v>
      </c>
      <c r="X10" s="8">
        <v>22483.595008857577</v>
      </c>
      <c r="Y10" s="8">
        <v>18399.783808933003</v>
      </c>
      <c r="Z10" s="9">
        <v>0</v>
      </c>
    </row>
    <row r="11" spans="1:100">
      <c r="A11" s="5" t="s">
        <v>7</v>
      </c>
      <c r="B11" s="8">
        <v>38725.275678274353</v>
      </c>
      <c r="C11" s="8">
        <v>7635.0806451612907</v>
      </c>
      <c r="D11" s="9">
        <v>0</v>
      </c>
      <c r="E11" s="8">
        <v>29335.682795698925</v>
      </c>
      <c r="F11" s="8">
        <v>26408.845046082948</v>
      </c>
      <c r="G11" s="8">
        <v>56920.491935483871</v>
      </c>
      <c r="H11" s="8">
        <v>26429.430107526878</v>
      </c>
      <c r="I11" s="8">
        <v>34541.5</v>
      </c>
      <c r="J11" s="8">
        <v>30259</v>
      </c>
      <c r="K11" s="8">
        <v>21273.596774193549</v>
      </c>
      <c r="L11" s="8">
        <v>34893.072580645166</v>
      </c>
      <c r="M11" s="8">
        <v>36050.782258064515</v>
      </c>
      <c r="N11" s="8">
        <v>52798.089134125636</v>
      </c>
      <c r="O11" s="8">
        <v>28306.346495775728</v>
      </c>
      <c r="P11" s="8">
        <v>33201.024792626726</v>
      </c>
      <c r="Q11" s="8">
        <v>37439.709677419356</v>
      </c>
      <c r="R11" s="8">
        <v>21444.236559139787</v>
      </c>
      <c r="S11" s="8">
        <v>31303.07368507381</v>
      </c>
      <c r="T11" s="8">
        <v>32507.771516259632</v>
      </c>
      <c r="U11" s="8">
        <v>25976.638758043489</v>
      </c>
      <c r="V11" s="8">
        <v>30435.629981024671</v>
      </c>
      <c r="W11" s="9">
        <v>0</v>
      </c>
      <c r="X11" s="8">
        <v>20921.968381187489</v>
      </c>
      <c r="Y11" s="8">
        <v>16208.364247311825</v>
      </c>
      <c r="Z11" s="9">
        <v>0</v>
      </c>
    </row>
    <row r="12" spans="1:100">
      <c r="A12" s="5" t="s">
        <v>8</v>
      </c>
      <c r="B12" s="8">
        <v>38102.858333333337</v>
      </c>
      <c r="C12" s="8">
        <v>8067.4666666666662</v>
      </c>
      <c r="D12" s="9">
        <v>0</v>
      </c>
      <c r="E12" s="8">
        <v>31310.472222222219</v>
      </c>
      <c r="F12" s="8">
        <v>26464.191666666666</v>
      </c>
      <c r="G12" s="8">
        <v>59316.149999999994</v>
      </c>
      <c r="H12" s="8">
        <v>26256.692619047619</v>
      </c>
      <c r="I12" s="9">
        <v>0</v>
      </c>
      <c r="J12" s="8">
        <v>31554.033333333333</v>
      </c>
      <c r="K12" s="8">
        <v>21275.083333333332</v>
      </c>
      <c r="L12" s="8">
        <v>35239.625</v>
      </c>
      <c r="M12" s="8">
        <v>36581.4</v>
      </c>
      <c r="N12" s="8">
        <v>53762.268461538457</v>
      </c>
      <c r="O12" s="8">
        <v>28507.420461309524</v>
      </c>
      <c r="P12" s="8">
        <v>34246.064666666665</v>
      </c>
      <c r="Q12" s="8">
        <v>38626.429166666669</v>
      </c>
      <c r="R12" s="8">
        <v>20742.682478632483</v>
      </c>
      <c r="S12" s="8">
        <v>35684.991251596424</v>
      </c>
      <c r="T12" s="8">
        <v>37503.624344238138</v>
      </c>
      <c r="U12" s="8">
        <v>27730.93</v>
      </c>
      <c r="V12" s="8">
        <v>31981.79583333333</v>
      </c>
      <c r="W12" s="9">
        <v>0</v>
      </c>
      <c r="X12" s="8">
        <v>21881.977777777778</v>
      </c>
      <c r="Y12" s="8">
        <v>16190.017372134038</v>
      </c>
      <c r="Z12" s="9">
        <v>0</v>
      </c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</row>
    <row r="13" spans="1:100">
      <c r="A13" s="5" t="s">
        <v>9</v>
      </c>
      <c r="B13" s="8">
        <v>39482.446184488013</v>
      </c>
      <c r="C13" s="8">
        <v>8037.1290322580644</v>
      </c>
      <c r="D13" s="9">
        <v>0</v>
      </c>
      <c r="E13" s="8">
        <v>31256.993382961125</v>
      </c>
      <c r="F13" s="8">
        <v>26746.298387096773</v>
      </c>
      <c r="G13" s="8">
        <v>60244.75</v>
      </c>
      <c r="H13" s="8">
        <v>27428.66129032258</v>
      </c>
      <c r="I13" s="9">
        <v>0</v>
      </c>
      <c r="J13" s="8">
        <v>32417.423387096773</v>
      </c>
      <c r="K13" s="8">
        <v>21647.177419354837</v>
      </c>
      <c r="L13" s="8">
        <v>35552.120967741939</v>
      </c>
      <c r="M13" s="8">
        <v>37783.322580645166</v>
      </c>
      <c r="N13" s="8">
        <v>55944.545161290327</v>
      </c>
      <c r="O13" s="8">
        <v>27129.056851978956</v>
      </c>
      <c r="P13" s="8">
        <v>34763.751612903223</v>
      </c>
      <c r="Q13" s="8">
        <v>39395.012096774197</v>
      </c>
      <c r="R13" s="8">
        <v>22652.22495755518</v>
      </c>
      <c r="S13" s="8">
        <v>33049.423231465757</v>
      </c>
      <c r="T13" s="8">
        <v>38470.798875293534</v>
      </c>
      <c r="U13" s="8">
        <v>28161.841935483866</v>
      </c>
      <c r="V13" s="8">
        <v>32881.679062126641</v>
      </c>
      <c r="W13" s="9">
        <v>0</v>
      </c>
      <c r="X13" s="8">
        <v>22613.418533452812</v>
      </c>
      <c r="Y13" s="8">
        <v>15710.882911529103</v>
      </c>
      <c r="Z13" s="9">
        <v>0</v>
      </c>
    </row>
    <row r="14" spans="1:100">
      <c r="A14" s="5" t="s">
        <v>10</v>
      </c>
      <c r="B14" s="8">
        <v>41127.439724310781</v>
      </c>
      <c r="C14" s="8">
        <v>8294.0833333333339</v>
      </c>
      <c r="D14" s="9">
        <v>0</v>
      </c>
      <c r="E14" s="8">
        <v>30448.607966457024</v>
      </c>
      <c r="F14" s="8">
        <v>27178.141666666666</v>
      </c>
      <c r="G14" s="8">
        <v>61373.991666666669</v>
      </c>
      <c r="H14" s="8">
        <v>28071.630392156861</v>
      </c>
      <c r="I14" s="9">
        <v>0</v>
      </c>
      <c r="J14" s="8">
        <v>32281.158333333333</v>
      </c>
      <c r="K14" s="8">
        <v>22047.483333333334</v>
      </c>
      <c r="L14" s="8">
        <v>36219.883333333331</v>
      </c>
      <c r="M14" s="8">
        <v>37811.241666666669</v>
      </c>
      <c r="N14" s="8">
        <v>56561.841052631571</v>
      </c>
      <c r="O14" s="8">
        <v>27319.484567901236</v>
      </c>
      <c r="P14" s="8">
        <v>35386.869999999995</v>
      </c>
      <c r="Q14" s="8">
        <v>40125.404166666667</v>
      </c>
      <c r="R14" s="8">
        <v>22337.350000000002</v>
      </c>
      <c r="S14" s="8">
        <v>33548.60333333334</v>
      </c>
      <c r="T14" s="8">
        <v>38650.777289972895</v>
      </c>
      <c r="U14" s="8">
        <v>30434.494883040938</v>
      </c>
      <c r="V14" s="8">
        <v>33823.816666666666</v>
      </c>
      <c r="W14" s="9">
        <v>0</v>
      </c>
      <c r="X14" s="8">
        <v>23513.492911967416</v>
      </c>
      <c r="Y14" s="8">
        <v>15936.251929053145</v>
      </c>
      <c r="Z14" s="9">
        <v>0</v>
      </c>
    </row>
    <row r="15" spans="1:100">
      <c r="A15" s="5" t="s">
        <v>11</v>
      </c>
      <c r="B15" s="8">
        <v>36156.770358339003</v>
      </c>
      <c r="C15" s="8">
        <v>7535.0645161290322</v>
      </c>
      <c r="D15" s="9">
        <v>0</v>
      </c>
      <c r="E15" s="8">
        <v>28038.232883490778</v>
      </c>
      <c r="F15" s="8">
        <v>24912.790322580648</v>
      </c>
      <c r="G15" s="8">
        <v>55489.758064516129</v>
      </c>
      <c r="H15" s="8">
        <v>25452.579877112134</v>
      </c>
      <c r="I15" s="9">
        <v>0</v>
      </c>
      <c r="J15" s="8">
        <v>29708.688966275658</v>
      </c>
      <c r="K15" s="8">
        <v>20358.822580645163</v>
      </c>
      <c r="L15" s="8">
        <v>33087.024193548386</v>
      </c>
      <c r="M15" s="8">
        <v>34271.137096774197</v>
      </c>
      <c r="N15" s="8">
        <v>51395.383870967744</v>
      </c>
      <c r="O15" s="8">
        <v>26723.767082111433</v>
      </c>
      <c r="P15" s="8">
        <v>31648.783695014659</v>
      </c>
      <c r="Q15" s="8">
        <v>36329.975806451614</v>
      </c>
      <c r="R15" s="8">
        <v>20639.979006656427</v>
      </c>
      <c r="S15" s="8">
        <v>34241.282258064515</v>
      </c>
      <c r="T15" s="8">
        <v>35052.989247311831</v>
      </c>
      <c r="U15" s="8">
        <v>27895.09946236559</v>
      </c>
      <c r="V15" s="8">
        <v>30145.129032258061</v>
      </c>
      <c r="W15" s="9">
        <v>0</v>
      </c>
      <c r="X15" s="8">
        <v>21526.417410714286</v>
      </c>
      <c r="Y15" s="8">
        <v>14316.263797346352</v>
      </c>
      <c r="Z15" s="9">
        <v>0</v>
      </c>
    </row>
    <row r="16" spans="1:100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12703-3D16-49FD-B93D-4992D7DCC6D7}">
  <sheetPr codeName="Sheet4"/>
  <dimension ref="A3:Z4"/>
  <sheetViews>
    <sheetView workbookViewId="0">
      <selection activeCell="D8" sqref="D8"/>
    </sheetView>
  </sheetViews>
  <sheetFormatPr baseColWidth="10" defaultColWidth="8.83203125" defaultRowHeight="17"/>
  <sheetData>
    <row r="3" spans="1:26">
      <c r="A3" t="s">
        <v>12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19</v>
      </c>
      <c r="G3" s="1" t="s">
        <v>20</v>
      </c>
      <c r="H3" s="1" t="s">
        <v>21</v>
      </c>
      <c r="I3" s="1" t="s">
        <v>22</v>
      </c>
      <c r="J3" s="1" t="s">
        <v>23</v>
      </c>
      <c r="K3" s="1" t="s">
        <v>24</v>
      </c>
      <c r="L3" s="1" t="s">
        <v>25</v>
      </c>
      <c r="M3" s="1" t="s">
        <v>26</v>
      </c>
      <c r="N3" s="1" t="s">
        <v>27</v>
      </c>
      <c r="O3" s="1" t="s">
        <v>28</v>
      </c>
      <c r="P3" s="1" t="s">
        <v>29</v>
      </c>
      <c r="Q3" s="1" t="s">
        <v>30</v>
      </c>
      <c r="R3" s="1" t="s">
        <v>31</v>
      </c>
      <c r="S3" s="1" t="s">
        <v>32</v>
      </c>
      <c r="T3" s="1" t="s">
        <v>33</v>
      </c>
      <c r="U3" s="1" t="s">
        <v>34</v>
      </c>
      <c r="V3" s="1" t="s">
        <v>35</v>
      </c>
      <c r="W3" s="1" t="s">
        <v>36</v>
      </c>
      <c r="X3" s="1" t="s">
        <v>13</v>
      </c>
      <c r="Y3" s="1" t="s">
        <v>14</v>
      </c>
      <c r="Z3" s="1" t="s">
        <v>37</v>
      </c>
    </row>
    <row r="4" spans="1:26">
      <c r="A4" t="s">
        <v>38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ratio</vt:lpstr>
      <vt:lpstr>season</vt:lpstr>
      <vt:lpstr>2018년</vt:lpstr>
      <vt:lpstr>2019년</vt:lpstr>
      <vt:lpstr>2020년</vt:lpstr>
      <vt:lpstr>자치구 - 자치구 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최승현</dc:creator>
  <cp:lastModifiedBy>최 승현</cp:lastModifiedBy>
  <dcterms:created xsi:type="dcterms:W3CDTF">2021-11-07T08:31:17Z</dcterms:created>
  <dcterms:modified xsi:type="dcterms:W3CDTF">2021-11-23T11:24:00Z</dcterms:modified>
</cp:coreProperties>
</file>